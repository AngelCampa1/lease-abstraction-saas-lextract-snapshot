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erty Summary" state="visible" r:id="rId4"/>
    <sheet sheetId="2" name="Rent Schedule" state="visible" r:id="rId5"/>
    <sheet sheetId="3" name="CAM Tracking" state="visible" r:id="rId6"/>
    <sheet sheetId="4" name="Options &amp; Critical Dates" state="visible" r:id="rId7"/>
    <sheet sheetId="5" name="Red Flags" state="visible" r:id="rId8"/>
    <sheet sheetId="6" name="Audit Request Tracker" state="visible" r:id="rId9"/>
    <sheet sheetId="7" name="Cap Calculator" state="visible" r:id="rId10"/>
    <sheet sheetId="8" name="Dispute Summary" state="visible" r:id="rId11"/>
  </sheets>
  <calcPr calcId="171027"/>
</workbook>
</file>

<file path=xl/sharedStrings.xml><?xml version="1.0" encoding="utf-8"?>
<sst xmlns="http://schemas.openxmlformats.org/spreadsheetml/2006/main" count="1490" uniqueCount="104">
  <si>
    <t>Property Name</t>
  </si>
  <si>
    <t>Address</t>
  </si>
  <si>
    <t>City/State</t>
  </si>
  <si>
    <t>Property Type</t>
  </si>
  <si>
    <t>Total RSF</t>
  </si>
  <si>
    <t># Tenants</t>
  </si>
  <si>
    <t>Occupancy %</t>
  </si>
  <si>
    <t>Annual Base Rent</t>
  </si>
  <si>
    <t>Annual CAM Estimate</t>
  </si>
  <si>
    <t>Notes</t>
  </si>
  <si>
    <t/>
  </si>
  <si>
    <t>Tenant Name</t>
  </si>
  <si>
    <t>Suite</t>
  </si>
  <si>
    <t>Floor</t>
  </si>
  <si>
    <t>RSF</t>
  </si>
  <si>
    <t>Lease Start</t>
  </si>
  <si>
    <t>Lease End</t>
  </si>
  <si>
    <t>Months Remaining</t>
  </si>
  <si>
    <t>Current Rent/Mo</t>
  </si>
  <si>
    <t>Current Rent/SF/Yr</t>
  </si>
  <si>
    <t>Escalation Type</t>
  </si>
  <si>
    <t>Next Increase Date</t>
  </si>
  <si>
    <t>New Rent/Mo</t>
  </si>
  <si>
    <t>Tenant</t>
  </si>
  <si>
    <t>Pro-Rata Share %</t>
  </si>
  <si>
    <t>CAM Estimate/Mo</t>
  </si>
  <si>
    <t>Prior Year CAM Actual</t>
  </si>
  <si>
    <t>Prior Year Reconciliation (Over)/Under</t>
  </si>
  <si>
    <t>Current Year Accrual/Mo</t>
  </si>
  <si>
    <t>CAM Cap Type</t>
  </si>
  <si>
    <t>Cap %</t>
  </si>
  <si>
    <t>Option Type</t>
  </si>
  <si>
    <t>Notice Deadline</t>
  </si>
  <si>
    <t>Exercise Window Start</t>
  </si>
  <si>
    <t>Exercise Window End</t>
  </si>
  <si>
    <t>Option Terms</t>
  </si>
  <si>
    <t>Market / Fixed</t>
  </si>
  <si>
    <t>Clause Type</t>
  </si>
  <si>
    <t>Summary</t>
  </si>
  <si>
    <t>Potential Exposure ($)</t>
  </si>
  <si>
    <t>Priority (High/Med/Low)</t>
  </si>
  <si>
    <t>Status</t>
  </si>
  <si>
    <t>Assigned To</t>
  </si>
  <si>
    <t>All Tenants</t>
  </si>
  <si>
    <t>Co-Tenancy Clause</t>
  </si>
  <si>
    <t>Anchor tenant (&gt;50k SF) vacancy triggers rent reduction to % of gross sales; anchor lease expires in 14 months</t>
  </si>
  <si>
    <t>180,000</t>
  </si>
  <si>
    <t>High</t>
  </si>
  <si>
    <t>Open</t>
  </si>
  <si>
    <t>Review anchor lease status; assess re-leasing timeline</t>
  </si>
  <si>
    <t>Tenant A</t>
  </si>
  <si>
    <t>Expiring Option</t>
  </si>
  <si>
    <t>Renewal option notice deadline in 90 days; tenant has not indicated intent; failure to exercise forfeits renewal right</t>
  </si>
  <si>
    <t>0</t>
  </si>
  <si>
    <t>Send reminder to tenant; confirm notice procedures</t>
  </si>
  <si>
    <t>Tenant B</t>
  </si>
  <si>
    <t>Below-Market Rent</t>
  </si>
  <si>
    <t>Tenant paying $18/SF vs. market $26/SF; lease expires in 8 months; no renewal option; rollover risk with significant mark-to-market gap</t>
  </si>
  <si>
    <t>96,000</t>
  </si>
  <si>
    <t>Medium</t>
  </si>
  <si>
    <t>Begin renewal negotiation or budget for TI on re-lease</t>
  </si>
  <si>
    <t>Document Requested</t>
  </si>
  <si>
    <t>Lease Clause / Authority</t>
  </si>
  <si>
    <t>Request Date</t>
  </si>
  <si>
    <t>Due Date</t>
  </si>
  <si>
    <t>Received Date</t>
  </si>
  <si>
    <t>Follow-Up Owner</t>
  </si>
  <si>
    <t>General ledger export by CAM account</t>
  </si>
  <si>
    <t>Audit rights / books and records access</t>
  </si>
  <si>
    <t>Requested</t>
  </si>
  <si>
    <t>Ask for Excel or CSV, not PDF summary.</t>
  </si>
  <si>
    <t>Vendor invoices for line items over 10% of CAM</t>
  </si>
  <si>
    <t>Reasonable supporting documentation</t>
  </si>
  <si>
    <t>Prioritize repairs, security, janitorial, landscaping, and snow removal.</t>
  </si>
  <si>
    <t>Capital project amortization schedules</t>
  </si>
  <si>
    <t>Capital expenditure exclusion / amortization clause</t>
  </si>
  <si>
    <t>Pending</t>
  </si>
  <si>
    <t>Require useful life, interest rate, and in-service date.</t>
  </si>
  <si>
    <t>Audit Year</t>
  </si>
  <si>
    <t>Prior Allowed Controllable CAM</t>
  </si>
  <si>
    <t>Maximum Allowed CAM</t>
  </si>
  <si>
    <t>Actual Controllable CAM</t>
  </si>
  <si>
    <t>Over Cap Amount</t>
  </si>
  <si>
    <t>Tenant Pro-Rata Share %</t>
  </si>
  <si>
    <t>Tenant Overcharge</t>
  </si>
  <si>
    <t>Cap Type</t>
  </si>
  <si>
    <t>Finding #</t>
  </si>
  <si>
    <t>Issue Category</t>
  </si>
  <si>
    <t>Lease Reference</t>
  </si>
  <si>
    <t>Landlord Charged</t>
  </si>
  <si>
    <t>Allowed Amount</t>
  </si>
  <si>
    <t>Variance</t>
  </si>
  <si>
    <t>Tenant Share</t>
  </si>
  <si>
    <t>Recovery Request</t>
  </si>
  <si>
    <t>Evidence Status</t>
  </si>
  <si>
    <t>Resolution</t>
  </si>
  <si>
    <t>F-001</t>
  </si>
  <si>
    <t>Management fee overage</t>
  </si>
  <si>
    <t>Operating Expenses definition</t>
  </si>
  <si>
    <t>Invoice + lease support</t>
  </si>
  <si>
    <t>F-002</t>
  </si>
  <si>
    <t>Capital expenditure</t>
  </si>
  <si>
    <t>CAM exclusions</t>
  </si>
  <si>
    <t>Need amortization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</si>
</sst>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DC2626"/>
      <sz val="10"/>
      <name val="Calibri"/>
    </font>
    <font>
      <b/>
      <color rgb="FFD97706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12</xdr:col>
      <xdr:colOff>0</xdr:colOff>
      <xdr:row>0</xdr:row>
      <xdr:rowOff>0</xdr:rowOff>
    </xdr:from>
    <xdr:ext cx="1524000" cy="390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12</xdr:col>
      <xdr:colOff>0</xdr:colOff>
      <xdr:row>0</xdr:row>
      <xdr:rowOff>0</xdr:rowOff>
    </xdr:from>
    <xdr:ext cx="1524000" cy="390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12</xdr:col>
      <xdr:colOff>0</xdr:colOff>
      <xdr:row>0</xdr:row>
      <xdr:rowOff>0</xdr:rowOff>
    </xdr:from>
    <xdr:ext cx="1524000" cy="390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12</xdr:col>
      <xdr:colOff>0</xdr:colOff>
      <xdr:row>0</xdr:row>
      <xdr:rowOff>0</xdr:rowOff>
    </xdr:from>
    <xdr:ext cx="1524000" cy="390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12</xdr:col>
      <xdr:colOff>0</xdr:colOff>
      <xdr:row>0</xdr:row>
      <xdr:rowOff>0</xdr:rowOff>
    </xdr:from>
    <xdr:ext cx="1524000" cy="390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12</xdr:col>
      <xdr:colOff>0</xdr:colOff>
      <xdr:row>0</xdr:row>
      <xdr:rowOff>0</xdr:rowOff>
    </xdr:from>
    <xdr:ext cx="1524000" cy="390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12</xdr:col>
      <xdr:colOff>0</xdr:colOff>
      <xdr:row>0</xdr:row>
      <xdr:rowOff>0</xdr:rowOff>
    </xdr:from>
    <xdr:ext cx="1524000" cy="390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12</xdr:col>
      <xdr:colOff>0</xdr:colOff>
      <xdr:row>0</xdr:row>
      <xdr:rowOff>0</xdr:rowOff>
    </xdr:from>
    <xdr:ext cx="1524000" cy="390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9" width="18" customWidth="1"/>
    <col min="10" max="10" width="30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 x14ac:dyDescent="0.25">
      <c r="A2" s="2" t="s">
        <v>10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2" t="s">
        <v>10</v>
      </c>
    </row>
    <row r="3" ht="18" customHeight="1" spans="1:10" x14ac:dyDescent="0.25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  <c r="J3" s="3" t="s">
        <v>10</v>
      </c>
    </row>
    <row r="4" ht="18" customHeight="1" spans="1:10" x14ac:dyDescent="0.25">
      <c r="A4" s="2" t="s">
        <v>10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  <c r="J4" s="2" t="s">
        <v>10</v>
      </c>
    </row>
    <row r="5" ht="18" customHeight="1" spans="1:10" x14ac:dyDescent="0.25">
      <c r="A5" s="3" t="s">
        <v>10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  <c r="J5" s="3" t="s">
        <v>10</v>
      </c>
    </row>
    <row r="6" ht="18" customHeight="1" spans="1:10" x14ac:dyDescent="0.25">
      <c r="A6" s="2" t="s">
        <v>10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  <c r="J6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16" customWidth="1"/>
    <col min="10" max="10" width="20" customWidth="1"/>
    <col min="11" max="12" width="16" customWidth="1"/>
    <col min="13" max="13" width="30" customWidth="1"/>
  </cols>
  <sheetData>
    <row r="1" ht="24" customHeight="1" spans="1:13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9</v>
      </c>
    </row>
    <row r="2" ht="18" customHeight="1" spans="1:13" x14ac:dyDescent="0.25">
      <c r="A2" s="2" t="s">
        <v>10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2" t="s">
        <v>10</v>
      </c>
      <c r="K2" s="2" t="s">
        <v>10</v>
      </c>
      <c r="L2" s="2" t="s">
        <v>10</v>
      </c>
      <c r="M2" s="2" t="s">
        <v>10</v>
      </c>
    </row>
    <row r="3" ht="18" customHeight="1" spans="1:13" x14ac:dyDescent="0.25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  <c r="J3" s="3" t="s">
        <v>10</v>
      </c>
      <c r="K3" s="3" t="s">
        <v>10</v>
      </c>
      <c r="L3" s="3" t="s">
        <v>10</v>
      </c>
      <c r="M3" s="3" t="s">
        <v>10</v>
      </c>
    </row>
    <row r="4" ht="18" customHeight="1" spans="1:13" x14ac:dyDescent="0.25">
      <c r="A4" s="2" t="s">
        <v>10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  <c r="J4" s="2" t="s">
        <v>10</v>
      </c>
      <c r="K4" s="2" t="s">
        <v>10</v>
      </c>
      <c r="L4" s="2" t="s">
        <v>10</v>
      </c>
      <c r="M4" s="2" t="s">
        <v>10</v>
      </c>
    </row>
    <row r="5" ht="18" customHeight="1" spans="1:13" x14ac:dyDescent="0.25">
      <c r="A5" s="3" t="s">
        <v>10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  <c r="J5" s="3" t="s">
        <v>10</v>
      </c>
      <c r="K5" s="3" t="s">
        <v>10</v>
      </c>
      <c r="L5" s="3" t="s">
        <v>10</v>
      </c>
      <c r="M5" s="3" t="s">
        <v>10</v>
      </c>
    </row>
    <row r="6" ht="18" customHeight="1" spans="1:13" x14ac:dyDescent="0.25">
      <c r="A6" s="2" t="s">
        <v>10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  <c r="J6" s="2" t="s">
        <v>10</v>
      </c>
      <c r="K6" s="2" t="s">
        <v>10</v>
      </c>
      <c r="L6" s="2" t="s">
        <v>10</v>
      </c>
      <c r="M6" s="2" t="s">
        <v>10</v>
      </c>
    </row>
    <row r="7" ht="18" customHeight="1" spans="1:13" x14ac:dyDescent="0.25">
      <c r="A7" s="3" t="s">
        <v>10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  <c r="J7" s="3" t="s">
        <v>10</v>
      </c>
      <c r="K7" s="3" t="s">
        <v>10</v>
      </c>
      <c r="L7" s="3" t="s">
        <v>10</v>
      </c>
      <c r="M7" s="3" t="s">
        <v>10</v>
      </c>
    </row>
    <row r="8" ht="18" customHeight="1" spans="1:13" x14ac:dyDescent="0.25">
      <c r="A8" s="2" t="s">
        <v>10</v>
      </c>
      <c r="B8" s="2" t="s">
        <v>10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  <c r="I8" s="2" t="s">
        <v>10</v>
      </c>
      <c r="J8" s="2" t="s">
        <v>10</v>
      </c>
      <c r="K8" s="2" t="s">
        <v>10</v>
      </c>
      <c r="L8" s="2" t="s">
        <v>10</v>
      </c>
      <c r="M8" s="2" t="s">
        <v>10</v>
      </c>
    </row>
    <row r="9" ht="18" customHeight="1" spans="1:13" x14ac:dyDescent="0.25">
      <c r="A9" s="3" t="s">
        <v>10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</row>
    <row r="10" ht="18" customHeight="1" spans="1:13" x14ac:dyDescent="0.25">
      <c r="A10" s="2" t="s">
        <v>10</v>
      </c>
      <c r="B10" s="2" t="s">
        <v>10</v>
      </c>
      <c r="C10" s="2" t="s">
        <v>10</v>
      </c>
      <c r="D10" s="2" t="s">
        <v>10</v>
      </c>
      <c r="E10" s="2" t="s">
        <v>10</v>
      </c>
      <c r="F10" s="2" t="s">
        <v>10</v>
      </c>
      <c r="G10" s="2" t="s">
        <v>10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</row>
    <row r="11" ht="18" customHeight="1" spans="1:13" x14ac:dyDescent="0.25">
      <c r="A11" s="3" t="s">
        <v>10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  <c r="J11" s="3" t="s">
        <v>10</v>
      </c>
      <c r="K11" s="3" t="s">
        <v>10</v>
      </c>
      <c r="L11" s="3" t="s">
        <v>10</v>
      </c>
      <c r="M1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6" width="20" customWidth="1"/>
    <col min="7" max="7" width="36" customWidth="1"/>
    <col min="8" max="10" width="20" customWidth="1"/>
    <col min="11" max="11" width="30" customWidth="1"/>
  </cols>
  <sheetData>
    <row r="1" ht="24" customHeight="1" spans="1:11" x14ac:dyDescent="0.25">
      <c r="A1" s="1" t="s">
        <v>23</v>
      </c>
      <c r="B1" s="1" t="s">
        <v>12</v>
      </c>
      <c r="C1" s="1" t="s">
        <v>14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9</v>
      </c>
    </row>
    <row r="2" ht="18" customHeight="1" spans="1:11" x14ac:dyDescent="0.25">
      <c r="A2" s="2" t="s">
        <v>10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2" t="s">
        <v>10</v>
      </c>
      <c r="K2" s="2" t="s">
        <v>10</v>
      </c>
    </row>
    <row r="3" ht="18" customHeight="1" spans="1:11" x14ac:dyDescent="0.25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  <c r="J3" s="3" t="s">
        <v>10</v>
      </c>
      <c r="K3" s="3" t="s">
        <v>10</v>
      </c>
    </row>
    <row r="4" ht="18" customHeight="1" spans="1:11" x14ac:dyDescent="0.25">
      <c r="A4" s="2" t="s">
        <v>10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  <c r="J4" s="2" t="s">
        <v>10</v>
      </c>
      <c r="K4" s="2" t="s">
        <v>10</v>
      </c>
    </row>
    <row r="5" ht="18" customHeight="1" spans="1:11" x14ac:dyDescent="0.25">
      <c r="A5" s="3" t="s">
        <v>10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  <c r="J5" s="3" t="s">
        <v>10</v>
      </c>
      <c r="K5" s="3" t="s">
        <v>10</v>
      </c>
    </row>
    <row r="6" ht="18" customHeight="1" spans="1:11" x14ac:dyDescent="0.25">
      <c r="A6" s="2" t="s">
        <v>10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  <c r="J6" s="2" t="s">
        <v>10</v>
      </c>
      <c r="K6" s="2" t="s">
        <v>10</v>
      </c>
    </row>
    <row r="7" ht="18" customHeight="1" spans="1:11" x14ac:dyDescent="0.25">
      <c r="A7" s="3" t="s">
        <v>10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  <c r="J7" s="3" t="s">
        <v>10</v>
      </c>
      <c r="K7" s="3" t="s">
        <v>10</v>
      </c>
    </row>
    <row r="8" ht="18" customHeight="1" spans="1:11" x14ac:dyDescent="0.25">
      <c r="A8" s="2" t="s">
        <v>10</v>
      </c>
      <c r="B8" s="2" t="s">
        <v>10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  <c r="I8" s="2" t="s">
        <v>10</v>
      </c>
      <c r="J8" s="2" t="s">
        <v>10</v>
      </c>
      <c r="K8" s="2" t="s">
        <v>10</v>
      </c>
    </row>
    <row r="9" ht="18" customHeight="1" spans="1:11" x14ac:dyDescent="0.25">
      <c r="A9" s="3" t="s">
        <v>10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</row>
    <row r="10" ht="18" customHeight="1" spans="1:11" x14ac:dyDescent="0.25">
      <c r="A10" s="2" t="s">
        <v>10</v>
      </c>
      <c r="B10" s="2" t="s">
        <v>10</v>
      </c>
      <c r="C10" s="2" t="s">
        <v>10</v>
      </c>
      <c r="D10" s="2" t="s">
        <v>10</v>
      </c>
      <c r="E10" s="2" t="s">
        <v>10</v>
      </c>
      <c r="F10" s="2" t="s">
        <v>10</v>
      </c>
      <c r="G10" s="2" t="s">
        <v>10</v>
      </c>
      <c r="H10" s="2" t="s">
        <v>10</v>
      </c>
      <c r="I10" s="2" t="s">
        <v>10</v>
      </c>
      <c r="J10" s="2" t="s">
        <v>10</v>
      </c>
      <c r="K10" s="2" t="s">
        <v>10</v>
      </c>
    </row>
    <row r="11" ht="18" customHeight="1" spans="1:11" x14ac:dyDescent="0.25">
      <c r="A11" s="3" t="s">
        <v>10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  <c r="J11" s="3" t="s">
        <v>10</v>
      </c>
      <c r="K1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22" customWidth="1"/>
    <col min="6" max="6" width="36" customWidth="1"/>
    <col min="7" max="7" width="22" customWidth="1"/>
    <col min="8" max="8" width="30" customWidth="1"/>
  </cols>
  <sheetData>
    <row r="1" ht="24" customHeight="1" spans="1:8" x14ac:dyDescent="0.25">
      <c r="A1" s="1" t="s">
        <v>23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9</v>
      </c>
    </row>
    <row r="2" ht="18" customHeight="1" spans="1:8" x14ac:dyDescent="0.25">
      <c r="A2" s="2" t="s">
        <v>10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</row>
    <row r="3" ht="18" customHeight="1" spans="1:8" x14ac:dyDescent="0.25">
      <c r="A3" s="3" t="s">
        <v>10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</row>
    <row r="4" ht="18" customHeight="1" spans="1:8" x14ac:dyDescent="0.25">
      <c r="A4" s="2" t="s">
        <v>10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</row>
    <row r="5" ht="18" customHeight="1" spans="1:8" x14ac:dyDescent="0.25">
      <c r="A5" s="3" t="s">
        <v>10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</row>
    <row r="6" ht="18" customHeight="1" spans="1:8" x14ac:dyDescent="0.25">
      <c r="A6" s="2" t="s">
        <v>10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</row>
    <row r="7" ht="18" customHeight="1" spans="1:8" x14ac:dyDescent="0.25">
      <c r="A7" s="3" t="s">
        <v>10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</row>
    <row r="8" ht="18" customHeight="1" spans="1:8" x14ac:dyDescent="0.25">
      <c r="A8" s="2" t="s">
        <v>10</v>
      </c>
      <c r="B8" s="2" t="s">
        <v>10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</row>
    <row r="9" ht="18" customHeight="1" spans="1:8" x14ac:dyDescent="0.25">
      <c r="A9" s="3" t="s">
        <v>10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</row>
    <row r="10" ht="18" customHeight="1" spans="1:8" x14ac:dyDescent="0.25">
      <c r="A10" s="2" t="s">
        <v>10</v>
      </c>
      <c r="B10" s="2" t="s">
        <v>10</v>
      </c>
      <c r="C10" s="2" t="s">
        <v>10</v>
      </c>
      <c r="D10" s="2" t="s">
        <v>10</v>
      </c>
      <c r="E10" s="2" t="s">
        <v>10</v>
      </c>
      <c r="F10" s="2" t="s">
        <v>10</v>
      </c>
      <c r="G10" s="2" t="s">
        <v>10</v>
      </c>
      <c r="H10" s="2" t="s">
        <v>10</v>
      </c>
    </row>
    <row r="11" ht="18" customHeight="1" spans="1:8" x14ac:dyDescent="0.25">
      <c r="A11" s="3" t="s">
        <v>10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40" customWidth="1"/>
    <col min="4" max="7" width="22" customWidth="1"/>
    <col min="8" max="8" width="30" customWidth="1"/>
  </cols>
  <sheetData>
    <row r="1" ht="24" customHeight="1" spans="1:8" x14ac:dyDescent="0.25">
      <c r="A1" s="1" t="s">
        <v>23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9</v>
      </c>
    </row>
    <row r="2" ht="18" customHeight="1" spans="1:8" x14ac:dyDescent="0.25">
      <c r="A2" s="2" t="s">
        <v>43</v>
      </c>
      <c r="B2" s="2" t="s">
        <v>44</v>
      </c>
      <c r="C2" s="2" t="s">
        <v>45</v>
      </c>
      <c r="D2" s="2" t="s">
        <v>46</v>
      </c>
      <c r="E2" s="4" t="s">
        <v>47</v>
      </c>
      <c r="F2" s="2" t="s">
        <v>48</v>
      </c>
      <c r="G2" s="2" t="s">
        <v>10</v>
      </c>
      <c r="H2" s="2" t="s">
        <v>49</v>
      </c>
    </row>
    <row r="3" ht="18" customHeight="1" spans="1:8" x14ac:dyDescent="0.25">
      <c r="A3" s="3" t="s">
        <v>50</v>
      </c>
      <c r="B3" s="3" t="s">
        <v>51</v>
      </c>
      <c r="C3" s="3" t="s">
        <v>52</v>
      </c>
      <c r="D3" s="3" t="s">
        <v>53</v>
      </c>
      <c r="E3" s="4" t="s">
        <v>47</v>
      </c>
      <c r="F3" s="3" t="s">
        <v>48</v>
      </c>
      <c r="G3" s="3" t="s">
        <v>10</v>
      </c>
      <c r="H3" s="3" t="s">
        <v>54</v>
      </c>
    </row>
    <row r="4" ht="18" customHeight="1" spans="1:8" x14ac:dyDescent="0.25">
      <c r="A4" s="2" t="s">
        <v>55</v>
      </c>
      <c r="B4" s="2" t="s">
        <v>56</v>
      </c>
      <c r="C4" s="2" t="s">
        <v>57</v>
      </c>
      <c r="D4" s="2" t="s">
        <v>58</v>
      </c>
      <c r="E4" s="5" t="s">
        <v>59</v>
      </c>
      <c r="F4" s="2" t="s">
        <v>48</v>
      </c>
      <c r="G4" s="2" t="s">
        <v>10</v>
      </c>
      <c r="H4" s="2" t="s">
        <v>60</v>
      </c>
    </row>
    <row r="5" ht="18" customHeight="1" spans="1:8" x14ac:dyDescent="0.25">
      <c r="A5" s="2" t="s">
        <v>10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10</v>
      </c>
    </row>
    <row r="6" ht="18" customHeight="1" spans="1:8" x14ac:dyDescent="0.25">
      <c r="A6" s="3" t="s">
        <v>10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</row>
    <row r="7" ht="18" customHeight="1" spans="1:8" x14ac:dyDescent="0.25">
      <c r="A7" s="2" t="s">
        <v>10</v>
      </c>
      <c r="B7" s="2" t="s">
        <v>10</v>
      </c>
      <c r="C7" s="2" t="s">
        <v>10</v>
      </c>
      <c r="D7" s="2" t="s">
        <v>10</v>
      </c>
      <c r="E7" s="2" t="s">
        <v>10</v>
      </c>
      <c r="F7" s="2" t="s">
        <v>10</v>
      </c>
      <c r="G7" s="2" t="s">
        <v>10</v>
      </c>
      <c r="H7" s="2" t="s">
        <v>10</v>
      </c>
    </row>
    <row r="8" ht="18" customHeight="1" spans="1:8" x14ac:dyDescent="0.25">
      <c r="A8" s="3" t="s">
        <v>10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</row>
    <row r="9" ht="18" customHeight="1" spans="1:8" x14ac:dyDescent="0.25">
      <c r="A9" s="2" t="s">
        <v>10</v>
      </c>
      <c r="B9" s="2" t="s">
        <v>10</v>
      </c>
      <c r="C9" s="2" t="s">
        <v>10</v>
      </c>
      <c r="D9" s="2" t="s">
        <v>10</v>
      </c>
      <c r="E9" s="2" t="s">
        <v>10</v>
      </c>
      <c r="F9" s="2" t="s">
        <v>10</v>
      </c>
      <c r="G9" s="2" t="s">
        <v>10</v>
      </c>
      <c r="H9" s="2" t="s">
        <v>10</v>
      </c>
    </row>
    <row r="10" ht="18" customHeight="1" spans="1:8" x14ac:dyDescent="0.25">
      <c r="A10" s="3" t="s">
        <v>10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</row>
    <row r="11" ht="18" customHeight="1" spans="1:8" x14ac:dyDescent="0.25">
      <c r="A11" s="2" t="s">
        <v>10</v>
      </c>
      <c r="B11" s="2" t="s">
        <v>10</v>
      </c>
      <c r="C11" s="2" t="s">
        <v>10</v>
      </c>
      <c r="D11" s="2" t="s">
        <v>10</v>
      </c>
      <c r="E11" s="2" t="s">
        <v>10</v>
      </c>
      <c r="F11" s="2" t="s">
        <v>10</v>
      </c>
      <c r="G11" s="2" t="s">
        <v>10</v>
      </c>
      <c r="H11" s="2" t="s">
        <v>10</v>
      </c>
    </row>
  </sheetData>
  <dataValidations count="1">
    <dataValidation type="list" allowBlank="1" showErrorMessage="1" errorTitle="Invalid priority" error="Please select: High, Med, or Low" sqref="E2:E4">
      <formula1>"High,Med,Low"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H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4" customWidth="1"/>
    <col min="3" max="7" width="18" customWidth="1"/>
    <col min="8" max="8" width="36" customWidth="1"/>
  </cols>
  <sheetData>
    <row r="1" ht="24" customHeight="1" spans="1:8" x14ac:dyDescent="0.2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41</v>
      </c>
      <c r="G1" s="1" t="s">
        <v>66</v>
      </c>
      <c r="H1" s="1" t="s">
        <v>9</v>
      </c>
    </row>
    <row r="2" ht="18" customHeight="1" spans="1:8" x14ac:dyDescent="0.25">
      <c r="A2" s="2" t="s">
        <v>67</v>
      </c>
      <c r="B2" s="2" t="s">
        <v>68</v>
      </c>
      <c r="C2" s="2" t="s">
        <v>10</v>
      </c>
      <c r="D2" s="2" t="s">
        <v>10</v>
      </c>
      <c r="E2" s="2" t="s">
        <v>10</v>
      </c>
      <c r="F2" s="2" t="s">
        <v>69</v>
      </c>
      <c r="G2" s="2" t="s">
        <v>10</v>
      </c>
      <c r="H2" s="2" t="s">
        <v>70</v>
      </c>
    </row>
    <row r="3" ht="18" customHeight="1" spans="1:8" x14ac:dyDescent="0.25">
      <c r="A3" s="3" t="s">
        <v>71</v>
      </c>
      <c r="B3" s="3" t="s">
        <v>72</v>
      </c>
      <c r="C3" s="3" t="s">
        <v>10</v>
      </c>
      <c r="D3" s="3" t="s">
        <v>10</v>
      </c>
      <c r="E3" s="3" t="s">
        <v>10</v>
      </c>
      <c r="F3" s="3" t="s">
        <v>69</v>
      </c>
      <c r="G3" s="3" t="s">
        <v>10</v>
      </c>
      <c r="H3" s="3" t="s">
        <v>73</v>
      </c>
    </row>
    <row r="4" ht="18" customHeight="1" spans="1:8" x14ac:dyDescent="0.25">
      <c r="A4" s="2" t="s">
        <v>74</v>
      </c>
      <c r="B4" s="2" t="s">
        <v>75</v>
      </c>
      <c r="C4" s="2" t="s">
        <v>10</v>
      </c>
      <c r="D4" s="2" t="s">
        <v>10</v>
      </c>
      <c r="E4" s="2" t="s">
        <v>10</v>
      </c>
      <c r="F4" s="2" t="s">
        <v>76</v>
      </c>
      <c r="G4" s="2" t="s">
        <v>10</v>
      </c>
      <c r="H4" s="2" t="s">
        <v>77</v>
      </c>
    </row>
    <row r="5" ht="18" customHeight="1" spans="1:8" x14ac:dyDescent="0.25">
      <c r="A5" s="2" t="s">
        <v>10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10</v>
      </c>
    </row>
    <row r="6" ht="18" customHeight="1" spans="1:8" x14ac:dyDescent="0.25">
      <c r="A6" s="3" t="s">
        <v>10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</row>
    <row r="7" ht="18" customHeight="1" spans="1:8" x14ac:dyDescent="0.25">
      <c r="A7" s="2" t="s">
        <v>10</v>
      </c>
      <c r="B7" s="2" t="s">
        <v>10</v>
      </c>
      <c r="C7" s="2" t="s">
        <v>10</v>
      </c>
      <c r="D7" s="2" t="s">
        <v>10</v>
      </c>
      <c r="E7" s="2" t="s">
        <v>10</v>
      </c>
      <c r="F7" s="2" t="s">
        <v>10</v>
      </c>
      <c r="G7" s="2" t="s">
        <v>10</v>
      </c>
      <c r="H7" s="2" t="s">
        <v>10</v>
      </c>
    </row>
    <row r="8" ht="18" customHeight="1" spans="1:8" x14ac:dyDescent="0.25">
      <c r="A8" s="3" t="s">
        <v>10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</row>
    <row r="9" ht="18" customHeight="1" spans="1:8" x14ac:dyDescent="0.25">
      <c r="A9" s="2" t="s">
        <v>10</v>
      </c>
      <c r="B9" s="2" t="s">
        <v>10</v>
      </c>
      <c r="C9" s="2" t="s">
        <v>10</v>
      </c>
      <c r="D9" s="2" t="s">
        <v>10</v>
      </c>
      <c r="E9" s="2" t="s">
        <v>10</v>
      </c>
      <c r="F9" s="2" t="s">
        <v>10</v>
      </c>
      <c r="G9" s="2" t="s">
        <v>10</v>
      </c>
      <c r="H9" s="2" t="s">
        <v>10</v>
      </c>
    </row>
    <row r="10" ht="18" customHeight="1" spans="1:8" x14ac:dyDescent="0.25">
      <c r="A10" s="3" t="s">
        <v>10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</row>
    <row r="11" ht="18" customHeight="1" spans="1:8" x14ac:dyDescent="0.25">
      <c r="A11" s="2" t="s">
        <v>10</v>
      </c>
      <c r="B11" s="2" t="s">
        <v>10</v>
      </c>
      <c r="C11" s="2" t="s">
        <v>10</v>
      </c>
      <c r="D11" s="2" t="s">
        <v>10</v>
      </c>
      <c r="E11" s="2" t="s">
        <v>10</v>
      </c>
      <c r="F11" s="2" t="s">
        <v>10</v>
      </c>
      <c r="G11" s="2" t="s">
        <v>10</v>
      </c>
      <c r="H11" s="2" t="s">
        <v>10</v>
      </c>
    </row>
    <row r="12" ht="18" customHeight="1" spans="1:8" x14ac:dyDescent="0.25">
      <c r="A12" s="3" t="s">
        <v>10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</row>
    <row r="13" ht="18" customHeight="1" spans="1:8" x14ac:dyDescent="0.25">
      <c r="A13" s="2" t="s">
        <v>10</v>
      </c>
      <c r="B13" s="2" t="s">
        <v>10</v>
      </c>
      <c r="C13" s="2" t="s">
        <v>10</v>
      </c>
      <c r="D13" s="2" t="s">
        <v>10</v>
      </c>
      <c r="E13" s="2" t="s">
        <v>10</v>
      </c>
      <c r="F13" s="2" t="s">
        <v>10</v>
      </c>
      <c r="G13" s="2" t="s">
        <v>10</v>
      </c>
      <c r="H13" s="2" t="s">
        <v>10</v>
      </c>
    </row>
    <row r="14" ht="18" customHeight="1" spans="1:8" x14ac:dyDescent="0.25">
      <c r="A14" s="3" t="s">
        <v>10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</row>
    <row r="15" ht="18" customHeight="1" spans="1:8" x14ac:dyDescent="0.25">
      <c r="A15" s="2" t="s">
        <v>10</v>
      </c>
      <c r="B15" s="2" t="s">
        <v>10</v>
      </c>
      <c r="C15" s="2" t="s">
        <v>10</v>
      </c>
      <c r="D15" s="2" t="s">
        <v>10</v>
      </c>
      <c r="E15" s="2" t="s">
        <v>10</v>
      </c>
      <c r="F15" s="2" t="s">
        <v>10</v>
      </c>
      <c r="G15" s="2" t="s">
        <v>10</v>
      </c>
      <c r="H15" s="2" t="s">
        <v>10</v>
      </c>
    </row>
    <row r="16" ht="18" customHeight="1" spans="1:8" x14ac:dyDescent="0.25">
      <c r="A16" s="3" t="s">
        <v>10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</row>
    <row r="17" ht="18" customHeight="1" spans="1:8" x14ac:dyDescent="0.25">
      <c r="A17" s="2" t="s">
        <v>10</v>
      </c>
      <c r="B17" s="2" t="s">
        <v>10</v>
      </c>
      <c r="C17" s="2" t="s">
        <v>10</v>
      </c>
      <c r="D17" s="2" t="s">
        <v>10</v>
      </c>
      <c r="E17" s="2" t="s">
        <v>10</v>
      </c>
      <c r="F17" s="2" t="s">
        <v>10</v>
      </c>
      <c r="G17" s="2" t="s">
        <v>10</v>
      </c>
      <c r="H17" s="2" t="s">
        <v>10</v>
      </c>
    </row>
    <row r="18" ht="18" customHeight="1" spans="1:8" x14ac:dyDescent="0.25">
      <c r="A18" s="3" t="s">
        <v>10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</row>
    <row r="19" ht="18" customHeight="1" spans="1:8" x14ac:dyDescent="0.25">
      <c r="A19" s="2" t="s">
        <v>10</v>
      </c>
      <c r="B19" s="2" t="s">
        <v>10</v>
      </c>
      <c r="C19" s="2" t="s">
        <v>10</v>
      </c>
      <c r="D19" s="2" t="s">
        <v>10</v>
      </c>
      <c r="E19" s="2" t="s">
        <v>10</v>
      </c>
      <c r="F19" s="2" t="s">
        <v>10</v>
      </c>
      <c r="G19" s="2" t="s">
        <v>10</v>
      </c>
      <c r="H19" s="2" t="s">
        <v>10</v>
      </c>
    </row>
    <row r="20" ht="18" customHeight="1" spans="1:8" x14ac:dyDescent="0.25">
      <c r="A20" s="3" t="s">
        <v>10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</row>
    <row r="21" ht="18" customHeight="1" spans="1:8" x14ac:dyDescent="0.25">
      <c r="A21" s="2" t="s">
        <v>10</v>
      </c>
      <c r="B21" s="2" t="s">
        <v>10</v>
      </c>
      <c r="C21" s="2" t="s">
        <v>10</v>
      </c>
      <c r="D21" s="2" t="s">
        <v>10</v>
      </c>
      <c r="E21" s="2" t="s">
        <v>10</v>
      </c>
      <c r="F21" s="2" t="s">
        <v>10</v>
      </c>
      <c r="G21" s="2" t="s">
        <v>10</v>
      </c>
      <c r="H21" s="2" t="s">
        <v>10</v>
      </c>
    </row>
    <row r="22" ht="18" customHeight="1" spans="1:8" x14ac:dyDescent="0.25">
      <c r="A22" s="3" t="s">
        <v>10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</row>
    <row r="23" ht="18" customHeight="1" spans="1:8" x14ac:dyDescent="0.25">
      <c r="A23" s="2" t="s">
        <v>10</v>
      </c>
      <c r="B23" s="2" t="s">
        <v>10</v>
      </c>
      <c r="C23" s="2" t="s">
        <v>10</v>
      </c>
      <c r="D23" s="2" t="s">
        <v>10</v>
      </c>
      <c r="E23" s="2" t="s">
        <v>10</v>
      </c>
      <c r="F23" s="2" t="s">
        <v>10</v>
      </c>
      <c r="G23" s="2" t="s">
        <v>10</v>
      </c>
      <c r="H23" s="2" t="s">
        <v>10</v>
      </c>
    </row>
    <row r="24" ht="18" customHeight="1" spans="1:8" x14ac:dyDescent="0.25">
      <c r="A24" s="3" t="s">
        <v>10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</row>
    <row r="25" ht="18" customHeight="1" spans="1:8" x14ac:dyDescent="0.25">
      <c r="A25" s="2" t="s">
        <v>10</v>
      </c>
      <c r="B25" s="2" t="s">
        <v>10</v>
      </c>
      <c r="C25" s="2" t="s">
        <v>10</v>
      </c>
      <c r="D25" s="2" t="s">
        <v>10</v>
      </c>
      <c r="E25" s="2" t="s">
        <v>10</v>
      </c>
      <c r="F25" s="2" t="s">
        <v>10</v>
      </c>
      <c r="G25" s="2" t="s">
        <v>10</v>
      </c>
      <c r="H25" s="2" t="s">
        <v>10</v>
      </c>
    </row>
    <row r="26" ht="18" customHeight="1" spans="1:8" x14ac:dyDescent="0.25">
      <c r="A26" s="3" t="s">
        <v>10</v>
      </c>
      <c r="B26" s="3" t="s">
        <v>10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</row>
    <row r="27" ht="18" customHeight="1" spans="1:8" x14ac:dyDescent="0.25">
      <c r="A27" s="2" t="s">
        <v>10</v>
      </c>
      <c r="B27" s="2" t="s">
        <v>10</v>
      </c>
      <c r="C27" s="2" t="s">
        <v>10</v>
      </c>
      <c r="D27" s="2" t="s">
        <v>10</v>
      </c>
      <c r="E27" s="2" t="s">
        <v>10</v>
      </c>
      <c r="F27" s="2" t="s">
        <v>10</v>
      </c>
      <c r="G27" s="2" t="s">
        <v>10</v>
      </c>
      <c r="H27" s="2" t="s">
        <v>10</v>
      </c>
    </row>
    <row r="28" ht="18" customHeight="1" spans="1:8" x14ac:dyDescent="0.25">
      <c r="A28" s="3" t="s">
        <v>10</v>
      </c>
      <c r="B28" s="3" t="s">
        <v>10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</row>
    <row r="29" ht="18" customHeight="1" spans="1:8" x14ac:dyDescent="0.25">
      <c r="A29" s="2" t="s">
        <v>10</v>
      </c>
      <c r="B29" s="2" t="s">
        <v>10</v>
      </c>
      <c r="C29" s="2" t="s">
        <v>10</v>
      </c>
      <c r="D29" s="2" t="s">
        <v>10</v>
      </c>
      <c r="E29" s="2" t="s">
        <v>10</v>
      </c>
      <c r="F29" s="2" t="s">
        <v>10</v>
      </c>
      <c r="G29" s="2" t="s">
        <v>10</v>
      </c>
      <c r="H29" s="2" t="s">
        <v>10</v>
      </c>
    </row>
    <row r="30" ht="18" customHeight="1" spans="1:8" x14ac:dyDescent="0.25">
      <c r="A30" s="3" t="s">
        <v>10</v>
      </c>
      <c r="B30" s="3" t="s">
        <v>10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10</v>
      </c>
    </row>
    <row r="31" ht="18" customHeight="1" spans="1:8" x14ac:dyDescent="0.25">
      <c r="A31" s="2" t="s">
        <v>10</v>
      </c>
      <c r="B31" s="2" t="s">
        <v>10</v>
      </c>
      <c r="C31" s="2" t="s">
        <v>10</v>
      </c>
      <c r="D31" s="2" t="s">
        <v>10</v>
      </c>
      <c r="E31" s="2" t="s">
        <v>10</v>
      </c>
      <c r="F31" s="2" t="s">
        <v>10</v>
      </c>
      <c r="G31" s="2" t="s">
        <v>10</v>
      </c>
      <c r="H31" s="2" t="s">
        <v>10</v>
      </c>
    </row>
    <row r="32" ht="18" customHeight="1" spans="1:8" x14ac:dyDescent="0.25">
      <c r="A32" s="3" t="s">
        <v>10</v>
      </c>
      <c r="B32" s="3" t="s">
        <v>10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</row>
    <row r="33" ht="18" customHeight="1" spans="1:8" x14ac:dyDescent="0.25">
      <c r="A33" s="2" t="s">
        <v>10</v>
      </c>
      <c r="B33" s="2" t="s">
        <v>10</v>
      </c>
      <c r="C33" s="2" t="s">
        <v>10</v>
      </c>
      <c r="D33" s="2" t="s">
        <v>10</v>
      </c>
      <c r="E33" s="2" t="s">
        <v>10</v>
      </c>
      <c r="F33" s="2" t="s">
        <v>10</v>
      </c>
      <c r="G33" s="2" t="s">
        <v>10</v>
      </c>
      <c r="H33" s="2" t="s">
        <v>10</v>
      </c>
    </row>
    <row r="34" ht="18" customHeight="1" spans="1:8" x14ac:dyDescent="0.25">
      <c r="A34" s="3" t="s">
        <v>10</v>
      </c>
      <c r="B34" s="3" t="s">
        <v>10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10</v>
      </c>
    </row>
    <row r="35" ht="18" customHeight="1" spans="1:8" x14ac:dyDescent="0.25">
      <c r="A35" s="2" t="s">
        <v>10</v>
      </c>
      <c r="B35" s="2" t="s">
        <v>10</v>
      </c>
      <c r="C35" s="2" t="s">
        <v>10</v>
      </c>
      <c r="D35" s="2" t="s">
        <v>10</v>
      </c>
      <c r="E35" s="2" t="s">
        <v>10</v>
      </c>
      <c r="F35" s="2" t="s">
        <v>10</v>
      </c>
      <c r="G35" s="2" t="s">
        <v>10</v>
      </c>
      <c r="H35" s="2" t="s">
        <v>10</v>
      </c>
    </row>
    <row r="36" ht="18" customHeight="1" spans="1:8" x14ac:dyDescent="0.25">
      <c r="A36" s="3" t="s">
        <v>10</v>
      </c>
      <c r="B36" s="3" t="s">
        <v>10</v>
      </c>
      <c r="C36" s="3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10</v>
      </c>
    </row>
    <row r="37" ht="18" customHeight="1" spans="1:8" x14ac:dyDescent="0.25">
      <c r="A37" s="2" t="s">
        <v>10</v>
      </c>
      <c r="B37" s="2" t="s">
        <v>10</v>
      </c>
      <c r="C37" s="2" t="s">
        <v>10</v>
      </c>
      <c r="D37" s="2" t="s">
        <v>10</v>
      </c>
      <c r="E37" s="2" t="s">
        <v>10</v>
      </c>
      <c r="F37" s="2" t="s">
        <v>10</v>
      </c>
      <c r="G37" s="2" t="s">
        <v>10</v>
      </c>
      <c r="H37" s="2" t="s">
        <v>10</v>
      </c>
    </row>
    <row r="38" ht="18" customHeight="1" spans="1:8" x14ac:dyDescent="0.25">
      <c r="A38" s="3" t="s">
        <v>10</v>
      </c>
      <c r="B38" s="3" t="s">
        <v>10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3" t="s">
        <v>10</v>
      </c>
    </row>
    <row r="39" ht="18" customHeight="1" spans="1:8" x14ac:dyDescent="0.25">
      <c r="A39" s="2" t="s">
        <v>10</v>
      </c>
      <c r="B39" s="2" t="s">
        <v>10</v>
      </c>
      <c r="C39" s="2" t="s">
        <v>10</v>
      </c>
      <c r="D39" s="2" t="s">
        <v>10</v>
      </c>
      <c r="E39" s="2" t="s">
        <v>10</v>
      </c>
      <c r="F39" s="2" t="s">
        <v>10</v>
      </c>
      <c r="G39" s="2" t="s">
        <v>10</v>
      </c>
      <c r="H39" s="2" t="s">
        <v>10</v>
      </c>
    </row>
    <row r="40" ht="18" customHeight="1" spans="1:8" x14ac:dyDescent="0.25">
      <c r="A40" s="3" t="s">
        <v>10</v>
      </c>
      <c r="B40" s="3" t="s">
        <v>10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10</v>
      </c>
    </row>
  </sheetData>
  <dataValidations count="2">
    <dataValidation type="list" allowBlank="1" showErrorMessage="1" errorTitle="Invalid status" error="Please select a tracker status." sqref="F10:F40">
      <formula1>"Requested,Received,Pending,Disputed,Closed"</formula1>
    </dataValidation>
    <dataValidation type="list" allowBlank="1" showErrorMessage="1" errorTitle="Invalid status" error="Please select a tracker status." sqref="F2:F40">
      <formula1>"Requested,Received,Pending,Disputed,Closed"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K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2" customWidth="1"/>
    <col min="10" max="10" width="34" customWidth="1"/>
  </cols>
  <sheetData>
    <row r="1" ht="24" customHeight="1" spans="1:10" x14ac:dyDescent="0.25">
      <c r="A1" s="1" t="s">
        <v>78</v>
      </c>
      <c r="B1" s="1" t="s">
        <v>79</v>
      </c>
      <c r="C1" s="1" t="s">
        <v>30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9</v>
      </c>
    </row>
    <row r="2" ht="18" customHeight="1" spans="1:11" x14ac:dyDescent="0.25">
      <c r="A2" s="3" t="s">
        <v>10</v>
      </c>
      <c r="B2" s="3">
        <v>2020</v>
      </c>
      <c r="C2" s="3" t="s">
        <v>10</v>
      </c>
      <c r="D2" s="3" t="s">
        <v>10</v>
      </c>
      <c r="E2" s="3">
        <f>B2*(1+C2)</f>
      </c>
      <c r="F2" s="3" t="s">
        <v>10</v>
      </c>
      <c r="G2" s="3">
        <f>MAX(0,E2-D2)</f>
      </c>
      <c r="H2" s="3" t="s">
        <v>10</v>
      </c>
      <c r="I2" s="3">
        <f>F2*G2</f>
      </c>
      <c r="J2" s="3" t="s">
        <v>10</v>
      </c>
      <c r="K2" s="3" t="s">
        <v>10</v>
      </c>
    </row>
    <row r="3" ht="18" customHeight="1" spans="1:11" x14ac:dyDescent="0.25">
      <c r="A3" s="2" t="s">
        <v>10</v>
      </c>
      <c r="B3" s="2">
        <v>2021</v>
      </c>
      <c r="C3" s="2" t="s">
        <v>10</v>
      </c>
      <c r="D3" s="2" t="s">
        <v>10</v>
      </c>
      <c r="E3" s="2">
        <f>B3*(1+C3)</f>
      </c>
      <c r="F3" s="2" t="s">
        <v>10</v>
      </c>
      <c r="G3" s="2">
        <f>MAX(0,E3-D3)</f>
      </c>
      <c r="H3" s="2" t="s">
        <v>10</v>
      </c>
      <c r="I3" s="2">
        <f>F3*G3</f>
      </c>
      <c r="J3" s="2" t="s">
        <v>10</v>
      </c>
      <c r="K3" s="2" t="s">
        <v>10</v>
      </c>
    </row>
    <row r="4" ht="18" customHeight="1" spans="1:11" x14ac:dyDescent="0.25">
      <c r="A4" s="3" t="s">
        <v>10</v>
      </c>
      <c r="B4" s="3">
        <v>2022</v>
      </c>
      <c r="C4" s="3" t="s">
        <v>10</v>
      </c>
      <c r="D4" s="3" t="s">
        <v>10</v>
      </c>
      <c r="E4" s="3">
        <f>B4*(1+C4)</f>
      </c>
      <c r="F4" s="3" t="s">
        <v>10</v>
      </c>
      <c r="G4" s="3">
        <f>MAX(0,E4-D4)</f>
      </c>
      <c r="H4" s="3" t="s">
        <v>10</v>
      </c>
      <c r="I4" s="3">
        <f>F4*G4</f>
      </c>
      <c r="J4" s="3" t="s">
        <v>10</v>
      </c>
      <c r="K4" s="3" t="s">
        <v>10</v>
      </c>
    </row>
    <row r="5" ht="18" customHeight="1" spans="1:11" x14ac:dyDescent="0.25">
      <c r="A5" s="2" t="s">
        <v>10</v>
      </c>
      <c r="B5" s="2">
        <v>2023</v>
      </c>
      <c r="C5" s="2" t="s">
        <v>10</v>
      </c>
      <c r="D5" s="2" t="s">
        <v>10</v>
      </c>
      <c r="E5" s="2">
        <f>B5*(1+C5)</f>
      </c>
      <c r="F5" s="2" t="s">
        <v>10</v>
      </c>
      <c r="G5" s="2">
        <f>MAX(0,E5-D5)</f>
      </c>
      <c r="H5" s="2" t="s">
        <v>10</v>
      </c>
      <c r="I5" s="2">
        <f>F5*G5</f>
      </c>
      <c r="J5" s="2" t="s">
        <v>10</v>
      </c>
      <c r="K5" s="2" t="s">
        <v>10</v>
      </c>
    </row>
    <row r="6" ht="18" customHeight="1" spans="1:11" x14ac:dyDescent="0.25">
      <c r="A6" s="3" t="s">
        <v>10</v>
      </c>
      <c r="B6" s="3">
        <v>2024</v>
      </c>
      <c r="C6" s="3" t="s">
        <v>10</v>
      </c>
      <c r="D6" s="3" t="s">
        <v>10</v>
      </c>
      <c r="E6" s="3">
        <f>B6*(1+C6)</f>
      </c>
      <c r="F6" s="3" t="s">
        <v>10</v>
      </c>
      <c r="G6" s="3">
        <f>MAX(0,E6-D6)</f>
      </c>
      <c r="H6" s="3" t="s">
        <v>10</v>
      </c>
      <c r="I6" s="3">
        <f>F6*G6</f>
      </c>
      <c r="J6" s="3" t="s">
        <v>10</v>
      </c>
      <c r="K6" s="3" t="s">
        <v>10</v>
      </c>
    </row>
    <row r="7" ht="18" customHeight="1" spans="1:11" x14ac:dyDescent="0.25">
      <c r="A7" s="2" t="s">
        <v>10</v>
      </c>
      <c r="B7" s="2">
        <v>2025</v>
      </c>
      <c r="C7" s="2" t="s">
        <v>10</v>
      </c>
      <c r="D7" s="2" t="s">
        <v>10</v>
      </c>
      <c r="E7" s="2">
        <f>B7*(1+C7)</f>
      </c>
      <c r="F7" s="2" t="s">
        <v>10</v>
      </c>
      <c r="G7" s="2">
        <f>MAX(0,E7-D7)</f>
      </c>
      <c r="H7" s="2" t="s">
        <v>10</v>
      </c>
      <c r="I7" s="2">
        <f>F7*G7</f>
      </c>
      <c r="J7" s="2" t="s">
        <v>10</v>
      </c>
      <c r="K7" s="2" t="s">
        <v>10</v>
      </c>
    </row>
    <row r="8" ht="18" customHeight="1" spans="1:11" x14ac:dyDescent="0.25">
      <c r="A8" s="3" t="s">
        <v>10</v>
      </c>
      <c r="B8" s="3">
        <v>2026</v>
      </c>
      <c r="C8" s="3" t="s">
        <v>10</v>
      </c>
      <c r="D8" s="3" t="s">
        <v>10</v>
      </c>
      <c r="E8" s="3">
        <f>B8*(1+C8)</f>
      </c>
      <c r="F8" s="3" t="s">
        <v>10</v>
      </c>
      <c r="G8" s="3">
        <f>MAX(0,E8-D8)</f>
      </c>
      <c r="H8" s="3" t="s">
        <v>10</v>
      </c>
      <c r="I8" s="3">
        <f>F8*G8</f>
      </c>
      <c r="J8" s="3" t="s">
        <v>10</v>
      </c>
      <c r="K8" s="3" t="s">
        <v>10</v>
      </c>
    </row>
    <row r="9" ht="18" customHeight="1" spans="1:11" x14ac:dyDescent="0.25">
      <c r="A9" s="2" t="s">
        <v>10</v>
      </c>
      <c r="B9" s="2">
        <v>2027</v>
      </c>
      <c r="C9" s="2" t="s">
        <v>10</v>
      </c>
      <c r="D9" s="2" t="s">
        <v>10</v>
      </c>
      <c r="E9" s="2">
        <f>B9*(1+C9)</f>
      </c>
      <c r="F9" s="2" t="s">
        <v>10</v>
      </c>
      <c r="G9" s="2">
        <f>MAX(0,E9-D9)</f>
      </c>
      <c r="H9" s="2" t="s">
        <v>10</v>
      </c>
      <c r="I9" s="2">
        <f>F9*G9</f>
      </c>
      <c r="J9" s="2" t="s">
        <v>10</v>
      </c>
      <c r="K9" s="2" t="s">
        <v>10</v>
      </c>
    </row>
    <row r="10" ht="18" customHeight="1" spans="1:11" x14ac:dyDescent="0.25">
      <c r="A10" s="3" t="s">
        <v>10</v>
      </c>
      <c r="B10" s="3">
        <v>2028</v>
      </c>
      <c r="C10" s="3" t="s">
        <v>10</v>
      </c>
      <c r="D10" s="3" t="s">
        <v>10</v>
      </c>
      <c r="E10" s="3">
        <f>B10*(1+C10)</f>
      </c>
      <c r="F10" s="3" t="s">
        <v>10</v>
      </c>
      <c r="G10" s="3">
        <f>MAX(0,E10-D10)</f>
      </c>
      <c r="H10" s="3" t="s">
        <v>10</v>
      </c>
      <c r="I10" s="3">
        <f>F10*G10</f>
      </c>
      <c r="J10" s="3" t="s">
        <v>10</v>
      </c>
      <c r="K10" s="3" t="s">
        <v>10</v>
      </c>
    </row>
    <row r="11" ht="18" customHeight="1" spans="1:11" x14ac:dyDescent="0.25">
      <c r="A11" s="2" t="s">
        <v>10</v>
      </c>
      <c r="B11" s="2">
        <v>2029</v>
      </c>
      <c r="C11" s="2" t="s">
        <v>10</v>
      </c>
      <c r="D11" s="2" t="s">
        <v>10</v>
      </c>
      <c r="E11" s="2">
        <f>B11*(1+C11)</f>
      </c>
      <c r="F11" s="2" t="s">
        <v>10</v>
      </c>
      <c r="G11" s="2">
        <f>MAX(0,E11-D11)</f>
      </c>
      <c r="H11" s="2" t="s">
        <v>10</v>
      </c>
      <c r="I11" s="2">
        <f>F11*G11</f>
      </c>
      <c r="J11" s="2" t="s">
        <v>10</v>
      </c>
      <c r="K11" s="2" t="s">
        <v>10</v>
      </c>
    </row>
    <row r="12" ht="18" customHeight="1" spans="1:11" x14ac:dyDescent="0.25">
      <c r="A12" s="3" t="s">
        <v>10</v>
      </c>
      <c r="B12" s="3">
        <v>2030</v>
      </c>
      <c r="C12" s="3" t="s">
        <v>10</v>
      </c>
      <c r="D12" s="3" t="s">
        <v>10</v>
      </c>
      <c r="E12" s="3">
        <f>B12*(1+C12)</f>
      </c>
      <c r="F12" s="3" t="s">
        <v>10</v>
      </c>
      <c r="G12" s="3">
        <f>MAX(0,E12-D12)</f>
      </c>
      <c r="H12" s="3" t="s">
        <v>10</v>
      </c>
      <c r="I12" s="3">
        <f>F12*G12</f>
      </c>
      <c r="J12" s="3" t="s">
        <v>10</v>
      </c>
      <c r="K12" s="3" t="s">
        <v>10</v>
      </c>
    </row>
    <row r="13" ht="18" customHeight="1" spans="1:11" x14ac:dyDescent="0.25">
      <c r="A13" s="2" t="s">
        <v>10</v>
      </c>
      <c r="B13" s="2">
        <v>2031</v>
      </c>
      <c r="C13" s="2" t="s">
        <v>10</v>
      </c>
      <c r="D13" s="2" t="s">
        <v>10</v>
      </c>
      <c r="E13" s="2">
        <f>B13*(1+C13)</f>
      </c>
      <c r="F13" s="2" t="s">
        <v>10</v>
      </c>
      <c r="G13" s="2">
        <f>MAX(0,E13-D13)</f>
      </c>
      <c r="H13" s="2" t="s">
        <v>10</v>
      </c>
      <c r="I13" s="2">
        <f>F13*G13</f>
      </c>
      <c r="J13" s="2" t="s">
        <v>10</v>
      </c>
      <c r="K13" s="2" t="s">
        <v>10</v>
      </c>
    </row>
    <row r="14" ht="18" customHeight="1" spans="1:11" x14ac:dyDescent="0.25">
      <c r="A14" s="3" t="s">
        <v>10</v>
      </c>
      <c r="B14" s="3">
        <v>2032</v>
      </c>
      <c r="C14" s="3" t="s">
        <v>10</v>
      </c>
      <c r="D14" s="3" t="s">
        <v>10</v>
      </c>
      <c r="E14" s="3">
        <f>B14*(1+C14)</f>
      </c>
      <c r="F14" s="3" t="s">
        <v>10</v>
      </c>
      <c r="G14" s="3">
        <f>MAX(0,E14-D14)</f>
      </c>
      <c r="H14" s="3" t="s">
        <v>10</v>
      </c>
      <c r="I14" s="3">
        <f>F14*G14</f>
      </c>
      <c r="J14" s="3" t="s">
        <v>10</v>
      </c>
      <c r="K14" s="3" t="s">
        <v>10</v>
      </c>
    </row>
    <row r="15" ht="18" customHeight="1" spans="1:11" x14ac:dyDescent="0.25">
      <c r="A15" s="2" t="s">
        <v>10</v>
      </c>
      <c r="B15" s="2">
        <v>2033</v>
      </c>
      <c r="C15" s="2" t="s">
        <v>10</v>
      </c>
      <c r="D15" s="2" t="s">
        <v>10</v>
      </c>
      <c r="E15" s="2">
        <f>B15*(1+C15)</f>
      </c>
      <c r="F15" s="2" t="s">
        <v>10</v>
      </c>
      <c r="G15" s="2">
        <f>MAX(0,E15-D15)</f>
      </c>
      <c r="H15" s="2" t="s">
        <v>10</v>
      </c>
      <c r="I15" s="2">
        <f>F15*G15</f>
      </c>
      <c r="J15" s="2" t="s">
        <v>10</v>
      </c>
      <c r="K15" s="2" t="s">
        <v>10</v>
      </c>
    </row>
    <row r="16" ht="18" customHeight="1" spans="1:11" x14ac:dyDescent="0.25">
      <c r="A16" s="3" t="s">
        <v>10</v>
      </c>
      <c r="B16" s="3">
        <v>2034</v>
      </c>
      <c r="C16" s="3" t="s">
        <v>10</v>
      </c>
      <c r="D16" s="3" t="s">
        <v>10</v>
      </c>
      <c r="E16" s="3">
        <f>B16*(1+C16)</f>
      </c>
      <c r="F16" s="3" t="s">
        <v>10</v>
      </c>
      <c r="G16" s="3">
        <f>MAX(0,E16-D16)</f>
      </c>
      <c r="H16" s="3" t="s">
        <v>10</v>
      </c>
      <c r="I16" s="3">
        <f>F16*G16</f>
      </c>
      <c r="J16" s="3" t="s">
        <v>10</v>
      </c>
      <c r="K16" s="3" t="s">
        <v>10</v>
      </c>
    </row>
    <row r="17" ht="18" customHeight="1" spans="1:11" x14ac:dyDescent="0.25">
      <c r="A17" s="2" t="s">
        <v>10</v>
      </c>
      <c r="B17" s="2">
        <v>2035</v>
      </c>
      <c r="C17" s="2" t="s">
        <v>10</v>
      </c>
      <c r="D17" s="2" t="s">
        <v>10</v>
      </c>
      <c r="E17" s="2">
        <f>B17*(1+C17)</f>
      </c>
      <c r="F17" s="2" t="s">
        <v>10</v>
      </c>
      <c r="G17" s="2">
        <f>MAX(0,E17-D17)</f>
      </c>
      <c r="H17" s="2" t="s">
        <v>10</v>
      </c>
      <c r="I17" s="2">
        <f>F17*G17</f>
      </c>
      <c r="J17" s="2" t="s">
        <v>10</v>
      </c>
      <c r="K17" s="2" t="s">
        <v>10</v>
      </c>
    </row>
    <row r="18" ht="18" customHeight="1" spans="1:11" x14ac:dyDescent="0.25">
      <c r="A18" s="3" t="s">
        <v>10</v>
      </c>
      <c r="B18" s="3">
        <v>2036</v>
      </c>
      <c r="C18" s="3" t="s">
        <v>10</v>
      </c>
      <c r="D18" s="3" t="s">
        <v>10</v>
      </c>
      <c r="E18" s="3">
        <f>B18*(1+C18)</f>
      </c>
      <c r="F18" s="3" t="s">
        <v>10</v>
      </c>
      <c r="G18" s="3">
        <f>MAX(0,E18-D18)</f>
      </c>
      <c r="H18" s="3" t="s">
        <v>10</v>
      </c>
      <c r="I18" s="3">
        <f>F18*G18</f>
      </c>
      <c r="J18" s="3" t="s">
        <v>10</v>
      </c>
      <c r="K18" s="3" t="s">
        <v>10</v>
      </c>
    </row>
    <row r="19" ht="18" customHeight="1" spans="1:11" x14ac:dyDescent="0.25">
      <c r="A19" s="2" t="s">
        <v>10</v>
      </c>
      <c r="B19" s="2">
        <v>2037</v>
      </c>
      <c r="C19" s="2" t="s">
        <v>10</v>
      </c>
      <c r="D19" s="2" t="s">
        <v>10</v>
      </c>
      <c r="E19" s="2">
        <f>B19*(1+C19)</f>
      </c>
      <c r="F19" s="2" t="s">
        <v>10</v>
      </c>
      <c r="G19" s="2">
        <f>MAX(0,E19-D19)</f>
      </c>
      <c r="H19" s="2" t="s">
        <v>10</v>
      </c>
      <c r="I19" s="2">
        <f>F19*G19</f>
      </c>
      <c r="J19" s="2" t="s">
        <v>10</v>
      </c>
      <c r="K19" s="2" t="s">
        <v>10</v>
      </c>
    </row>
    <row r="20" ht="18" customHeight="1" spans="1:11" x14ac:dyDescent="0.25">
      <c r="A20" s="3" t="s">
        <v>10</v>
      </c>
      <c r="B20" s="3">
        <v>2038</v>
      </c>
      <c r="C20" s="3" t="s">
        <v>10</v>
      </c>
      <c r="D20" s="3" t="s">
        <v>10</v>
      </c>
      <c r="E20" s="3">
        <f>B20*(1+C20)</f>
      </c>
      <c r="F20" s="3" t="s">
        <v>10</v>
      </c>
      <c r="G20" s="3">
        <f>MAX(0,E20-D20)</f>
      </c>
      <c r="H20" s="3" t="s">
        <v>10</v>
      </c>
      <c r="I20" s="3">
        <f>F20*G20</f>
      </c>
      <c r="J20" s="3" t="s">
        <v>10</v>
      </c>
      <c r="K20" s="3" t="s">
        <v>10</v>
      </c>
    </row>
    <row r="21" ht="18" customHeight="1" spans="1:11" x14ac:dyDescent="0.25">
      <c r="A21" s="2" t="s">
        <v>10</v>
      </c>
      <c r="B21" s="2">
        <v>2039</v>
      </c>
      <c r="C21" s="2" t="s">
        <v>10</v>
      </c>
      <c r="D21" s="2" t="s">
        <v>10</v>
      </c>
      <c r="E21" s="2">
        <f>B21*(1+C21)</f>
      </c>
      <c r="F21" s="2" t="s">
        <v>10</v>
      </c>
      <c r="G21" s="2">
        <f>MAX(0,E21-D21)</f>
      </c>
      <c r="H21" s="2" t="s">
        <v>10</v>
      </c>
      <c r="I21" s="2">
        <f>F21*G21</f>
      </c>
      <c r="J21" s="2" t="s">
        <v>10</v>
      </c>
      <c r="K21" s="2" t="s">
        <v>10</v>
      </c>
    </row>
    <row r="22" ht="18" customHeight="1" spans="1:11" x14ac:dyDescent="0.25">
      <c r="A22" s="3" t="s">
        <v>10</v>
      </c>
      <c r="B22" s="3">
        <v>2040</v>
      </c>
      <c r="C22" s="3" t="s">
        <v>10</v>
      </c>
      <c r="D22" s="3" t="s">
        <v>10</v>
      </c>
      <c r="E22" s="3">
        <f>B22*(1+C22)</f>
      </c>
      <c r="F22" s="3" t="s">
        <v>10</v>
      </c>
      <c r="G22" s="3">
        <f>MAX(0,E22-D22)</f>
      </c>
      <c r="H22" s="3" t="s">
        <v>10</v>
      </c>
      <c r="I22" s="3">
        <f>F22*G22</f>
      </c>
      <c r="J22" s="3" t="s">
        <v>10</v>
      </c>
      <c r="K22" s="3" t="s">
        <v>10</v>
      </c>
    </row>
    <row r="23" ht="18" customHeight="1" spans="1:11" x14ac:dyDescent="0.25">
      <c r="A23" s="2" t="s">
        <v>10</v>
      </c>
      <c r="B23" s="2">
        <v>2041</v>
      </c>
      <c r="C23" s="2" t="s">
        <v>10</v>
      </c>
      <c r="D23" s="2" t="s">
        <v>10</v>
      </c>
      <c r="E23" s="2">
        <f>B23*(1+C23)</f>
      </c>
      <c r="F23" s="2" t="s">
        <v>10</v>
      </c>
      <c r="G23" s="2">
        <f>MAX(0,E23-D23)</f>
      </c>
      <c r="H23" s="2" t="s">
        <v>10</v>
      </c>
      <c r="I23" s="2">
        <f>F23*G23</f>
      </c>
      <c r="J23" s="2" t="s">
        <v>10</v>
      </c>
      <c r="K23" s="2" t="s">
        <v>10</v>
      </c>
    </row>
    <row r="24" ht="18" customHeight="1" spans="1:11" x14ac:dyDescent="0.25">
      <c r="A24" s="3" t="s">
        <v>10</v>
      </c>
      <c r="B24" s="3">
        <v>2042</v>
      </c>
      <c r="C24" s="3" t="s">
        <v>10</v>
      </c>
      <c r="D24" s="3" t="s">
        <v>10</v>
      </c>
      <c r="E24" s="3">
        <f>B24*(1+C24)</f>
      </c>
      <c r="F24" s="3" t="s">
        <v>10</v>
      </c>
      <c r="G24" s="3">
        <f>MAX(0,E24-D24)</f>
      </c>
      <c r="H24" s="3" t="s">
        <v>10</v>
      </c>
      <c r="I24" s="3">
        <f>F24*G24</f>
      </c>
      <c r="J24" s="3" t="s">
        <v>10</v>
      </c>
      <c r="K24" s="3" t="s">
        <v>10</v>
      </c>
    </row>
    <row r="25" ht="18" customHeight="1" spans="1:11" x14ac:dyDescent="0.25">
      <c r="A25" s="2" t="s">
        <v>10</v>
      </c>
      <c r="B25" s="2">
        <v>2043</v>
      </c>
      <c r="C25" s="2" t="s">
        <v>10</v>
      </c>
      <c r="D25" s="2" t="s">
        <v>10</v>
      </c>
      <c r="E25" s="2">
        <f>B25*(1+C25)</f>
      </c>
      <c r="F25" s="2" t="s">
        <v>10</v>
      </c>
      <c r="G25" s="2">
        <f>MAX(0,E25-D25)</f>
      </c>
      <c r="H25" s="2" t="s">
        <v>10</v>
      </c>
      <c r="I25" s="2">
        <f>F25*G25</f>
      </c>
      <c r="J25" s="2" t="s">
        <v>10</v>
      </c>
      <c r="K25" s="2" t="s">
        <v>10</v>
      </c>
    </row>
    <row r="26" ht="18" customHeight="1" spans="1:11" x14ac:dyDescent="0.25">
      <c r="A26" s="3" t="s">
        <v>10</v>
      </c>
      <c r="B26" s="3">
        <v>2044</v>
      </c>
      <c r="C26" s="3" t="s">
        <v>10</v>
      </c>
      <c r="D26" s="3" t="s">
        <v>10</v>
      </c>
      <c r="E26" s="3">
        <f>B26*(1+C26)</f>
      </c>
      <c r="F26" s="3" t="s">
        <v>10</v>
      </c>
      <c r="G26" s="3">
        <f>MAX(0,E26-D26)</f>
      </c>
      <c r="H26" s="3" t="s">
        <v>10</v>
      </c>
      <c r="I26" s="3">
        <f>F26*G26</f>
      </c>
      <c r="J26" s="3" t="s">
        <v>10</v>
      </c>
      <c r="K26" s="3" t="s">
        <v>10</v>
      </c>
    </row>
    <row r="27" ht="18" customHeight="1" spans="1:11" x14ac:dyDescent="0.25">
      <c r="A27" s="2" t="s">
        <v>10</v>
      </c>
      <c r="B27" s="2">
        <v>2045</v>
      </c>
      <c r="C27" s="2" t="s">
        <v>10</v>
      </c>
      <c r="D27" s="2" t="s">
        <v>10</v>
      </c>
      <c r="E27" s="2">
        <f>B27*(1+C27)</f>
      </c>
      <c r="F27" s="2" t="s">
        <v>10</v>
      </c>
      <c r="G27" s="2">
        <f>MAX(0,E27-D27)</f>
      </c>
      <c r="H27" s="2" t="s">
        <v>10</v>
      </c>
      <c r="I27" s="2">
        <f>F27*G27</f>
      </c>
      <c r="J27" s="2" t="s">
        <v>10</v>
      </c>
      <c r="K27" s="2" t="s">
        <v>10</v>
      </c>
    </row>
    <row r="28" ht="18" customHeight="1" spans="1:11" x14ac:dyDescent="0.25">
      <c r="A28" s="3" t="s">
        <v>10</v>
      </c>
      <c r="B28" s="3">
        <v>2046</v>
      </c>
      <c r="C28" s="3" t="s">
        <v>10</v>
      </c>
      <c r="D28" s="3" t="s">
        <v>10</v>
      </c>
      <c r="E28" s="3">
        <f>B28*(1+C28)</f>
      </c>
      <c r="F28" s="3" t="s">
        <v>10</v>
      </c>
      <c r="G28" s="3">
        <f>MAX(0,E28-D28)</f>
      </c>
      <c r="H28" s="3" t="s">
        <v>10</v>
      </c>
      <c r="I28" s="3">
        <f>F28*G28</f>
      </c>
      <c r="J28" s="3" t="s">
        <v>10</v>
      </c>
      <c r="K28" s="3" t="s">
        <v>10</v>
      </c>
    </row>
    <row r="29" ht="18" customHeight="1" spans="1:11" x14ac:dyDescent="0.25">
      <c r="A29" s="2" t="s">
        <v>10</v>
      </c>
      <c r="B29" s="2">
        <v>2047</v>
      </c>
      <c r="C29" s="2" t="s">
        <v>10</v>
      </c>
      <c r="D29" s="2" t="s">
        <v>10</v>
      </c>
      <c r="E29" s="2">
        <f>B29*(1+C29)</f>
      </c>
      <c r="F29" s="2" t="s">
        <v>10</v>
      </c>
      <c r="G29" s="2">
        <f>MAX(0,E29-D29)</f>
      </c>
      <c r="H29" s="2" t="s">
        <v>10</v>
      </c>
      <c r="I29" s="2">
        <f>F29*G29</f>
      </c>
      <c r="J29" s="2" t="s">
        <v>10</v>
      </c>
      <c r="K29" s="2" t="s">
        <v>10</v>
      </c>
    </row>
    <row r="30" ht="18" customHeight="1" spans="1:11" x14ac:dyDescent="0.25">
      <c r="A30" s="3" t="s">
        <v>10</v>
      </c>
      <c r="B30" s="3">
        <v>2048</v>
      </c>
      <c r="C30" s="3" t="s">
        <v>10</v>
      </c>
      <c r="D30" s="3" t="s">
        <v>10</v>
      </c>
      <c r="E30" s="3">
        <f>B30*(1+C30)</f>
      </c>
      <c r="F30" s="3" t="s">
        <v>10</v>
      </c>
      <c r="G30" s="3">
        <f>MAX(0,E30-D30)</f>
      </c>
      <c r="H30" s="3" t="s">
        <v>10</v>
      </c>
      <c r="I30" s="3">
        <f>F30*G30</f>
      </c>
      <c r="J30" s="3" t="s">
        <v>10</v>
      </c>
      <c r="K30" s="3" t="s">
        <v>10</v>
      </c>
    </row>
    <row r="31" ht="18" customHeight="1" spans="1:11" x14ac:dyDescent="0.25">
      <c r="A31" s="2" t="s">
        <v>10</v>
      </c>
      <c r="B31" s="2">
        <v>2049</v>
      </c>
      <c r="C31" s="2" t="s">
        <v>10</v>
      </c>
      <c r="D31" s="2" t="s">
        <v>10</v>
      </c>
      <c r="E31" s="2">
        <f>B31*(1+C31)</f>
      </c>
      <c r="F31" s="2" t="s">
        <v>10</v>
      </c>
      <c r="G31" s="2">
        <f>MAX(0,E31-D31)</f>
      </c>
      <c r="H31" s="2" t="s">
        <v>10</v>
      </c>
      <c r="I31" s="2">
        <f>F31*G31</f>
      </c>
      <c r="J31" s="2" t="s">
        <v>10</v>
      </c>
      <c r="K31" s="2" t="s">
        <v>10</v>
      </c>
    </row>
    <row r="32" ht="18" customHeight="1" spans="1:11" x14ac:dyDescent="0.25">
      <c r="A32" s="3" t="s">
        <v>10</v>
      </c>
      <c r="B32" s="3">
        <v>2050</v>
      </c>
      <c r="C32" s="3" t="s">
        <v>10</v>
      </c>
      <c r="D32" s="3" t="s">
        <v>10</v>
      </c>
      <c r="E32" s="3">
        <f>B32*(1+C32)</f>
      </c>
      <c r="F32" s="3" t="s">
        <v>10</v>
      </c>
      <c r="G32" s="3">
        <f>MAX(0,E32-D32)</f>
      </c>
      <c r="H32" s="3" t="s">
        <v>10</v>
      </c>
      <c r="I32" s="3">
        <f>F32*G32</f>
      </c>
      <c r="J32" s="3" t="s">
        <v>10</v>
      </c>
      <c r="K32" s="3" t="s">
        <v>10</v>
      </c>
    </row>
    <row r="33" ht="18" customHeight="1" spans="1:11" x14ac:dyDescent="0.25">
      <c r="A33" s="2" t="s">
        <v>10</v>
      </c>
      <c r="B33" s="2">
        <v>2051</v>
      </c>
      <c r="C33" s="2" t="s">
        <v>10</v>
      </c>
      <c r="D33" s="2" t="s">
        <v>10</v>
      </c>
      <c r="E33" s="2">
        <f>B33*(1+C33)</f>
      </c>
      <c r="F33" s="2" t="s">
        <v>10</v>
      </c>
      <c r="G33" s="2">
        <f>MAX(0,E33-D33)</f>
      </c>
      <c r="H33" s="2" t="s">
        <v>10</v>
      </c>
      <c r="I33" s="2">
        <f>F33*G33</f>
      </c>
      <c r="J33" s="2" t="s">
        <v>10</v>
      </c>
      <c r="K33" s="2" t="s">
        <v>10</v>
      </c>
    </row>
    <row r="34" ht="18" customHeight="1" spans="1:11" x14ac:dyDescent="0.25">
      <c r="A34" s="3" t="s">
        <v>10</v>
      </c>
      <c r="B34" s="3">
        <v>2052</v>
      </c>
      <c r="C34" s="3" t="s">
        <v>10</v>
      </c>
      <c r="D34" s="3" t="s">
        <v>10</v>
      </c>
      <c r="E34" s="3">
        <f>B34*(1+C34)</f>
      </c>
      <c r="F34" s="3" t="s">
        <v>10</v>
      </c>
      <c r="G34" s="3">
        <f>MAX(0,E34-D34)</f>
      </c>
      <c r="H34" s="3" t="s">
        <v>10</v>
      </c>
      <c r="I34" s="3">
        <f>F34*G34</f>
      </c>
      <c r="J34" s="3" t="s">
        <v>10</v>
      </c>
      <c r="K34" s="3" t="s">
        <v>10</v>
      </c>
    </row>
    <row r="35" ht="18" customHeight="1" spans="1:11" x14ac:dyDescent="0.25">
      <c r="A35" s="2" t="s">
        <v>10</v>
      </c>
      <c r="B35" s="2">
        <v>2053</v>
      </c>
      <c r="C35" s="2" t="s">
        <v>10</v>
      </c>
      <c r="D35" s="2" t="s">
        <v>10</v>
      </c>
      <c r="E35" s="2">
        <f>B35*(1+C35)</f>
      </c>
      <c r="F35" s="2" t="s">
        <v>10</v>
      </c>
      <c r="G35" s="2">
        <f>MAX(0,E35-D35)</f>
      </c>
      <c r="H35" s="2" t="s">
        <v>10</v>
      </c>
      <c r="I35" s="2">
        <f>F35*G35</f>
      </c>
      <c r="J35" s="2" t="s">
        <v>10</v>
      </c>
      <c r="K35" s="2" t="s">
        <v>10</v>
      </c>
    </row>
    <row r="36" ht="18" customHeight="1" spans="1:11" x14ac:dyDescent="0.25">
      <c r="A36" s="3" t="s">
        <v>10</v>
      </c>
      <c r="B36" s="3">
        <v>2054</v>
      </c>
      <c r="C36" s="3" t="s">
        <v>10</v>
      </c>
      <c r="D36" s="3" t="s">
        <v>10</v>
      </c>
      <c r="E36" s="3">
        <f>B36*(1+C36)</f>
      </c>
      <c r="F36" s="3" t="s">
        <v>10</v>
      </c>
      <c r="G36" s="3">
        <f>MAX(0,E36-D36)</f>
      </c>
      <c r="H36" s="3" t="s">
        <v>10</v>
      </c>
      <c r="I36" s="3">
        <f>F36*G36</f>
      </c>
      <c r="J36" s="3" t="s">
        <v>10</v>
      </c>
      <c r="K36" s="3" t="s">
        <v>10</v>
      </c>
    </row>
    <row r="37" ht="18" customHeight="1" spans="1:11" x14ac:dyDescent="0.25">
      <c r="A37" s="2" t="s">
        <v>10</v>
      </c>
      <c r="B37" s="2">
        <v>2055</v>
      </c>
      <c r="C37" s="2" t="s">
        <v>10</v>
      </c>
      <c r="D37" s="2" t="s">
        <v>10</v>
      </c>
      <c r="E37" s="2">
        <f>B37*(1+C37)</f>
      </c>
      <c r="F37" s="2" t="s">
        <v>10</v>
      </c>
      <c r="G37" s="2">
        <f>MAX(0,E37-D37)</f>
      </c>
      <c r="H37" s="2" t="s">
        <v>10</v>
      </c>
      <c r="I37" s="2">
        <f>F37*G37</f>
      </c>
      <c r="J37" s="2" t="s">
        <v>10</v>
      </c>
      <c r="K37" s="2" t="s">
        <v>10</v>
      </c>
    </row>
    <row r="38" ht="18" customHeight="1" spans="1:11" x14ac:dyDescent="0.25">
      <c r="A38" s="3" t="s">
        <v>10</v>
      </c>
      <c r="B38" s="3">
        <v>2056</v>
      </c>
      <c r="C38" s="3" t="s">
        <v>10</v>
      </c>
      <c r="D38" s="3" t="s">
        <v>10</v>
      </c>
      <c r="E38" s="3">
        <f>B38*(1+C38)</f>
      </c>
      <c r="F38" s="3" t="s">
        <v>10</v>
      </c>
      <c r="G38" s="3">
        <f>MAX(0,E38-D38)</f>
      </c>
      <c r="H38" s="3" t="s">
        <v>10</v>
      </c>
      <c r="I38" s="3">
        <f>F38*G38</f>
      </c>
      <c r="J38" s="3" t="s">
        <v>10</v>
      </c>
      <c r="K38" s="3" t="s">
        <v>10</v>
      </c>
    </row>
    <row r="39" ht="18" customHeight="1" spans="1:11" x14ac:dyDescent="0.25">
      <c r="A39" s="2" t="s">
        <v>10</v>
      </c>
      <c r="B39" s="2">
        <v>2057</v>
      </c>
      <c r="C39" s="2" t="s">
        <v>10</v>
      </c>
      <c r="D39" s="2" t="s">
        <v>10</v>
      </c>
      <c r="E39" s="2">
        <f>B39*(1+C39)</f>
      </c>
      <c r="F39" s="2" t="s">
        <v>10</v>
      </c>
      <c r="G39" s="2">
        <f>MAX(0,E39-D39)</f>
      </c>
      <c r="H39" s="2" t="s">
        <v>10</v>
      </c>
      <c r="I39" s="2">
        <f>F39*G39</f>
      </c>
      <c r="J39" s="2" t="s">
        <v>10</v>
      </c>
      <c r="K39" s="2" t="s">
        <v>10</v>
      </c>
    </row>
    <row r="40" ht="18" customHeight="1" spans="1:11" x14ac:dyDescent="0.25">
      <c r="A40" s="3" t="s">
        <v>10</v>
      </c>
      <c r="B40" s="3">
        <v>2058</v>
      </c>
      <c r="C40" s="3" t="s">
        <v>10</v>
      </c>
      <c r="D40" s="3" t="s">
        <v>10</v>
      </c>
      <c r="E40" s="3">
        <f>B40*(1+C40)</f>
      </c>
      <c r="F40" s="3" t="s">
        <v>10</v>
      </c>
      <c r="G40" s="3">
        <f>MAX(0,E40-D40)</f>
      </c>
      <c r="H40" s="3" t="s">
        <v>10</v>
      </c>
      <c r="I40" s="3">
        <f>F40*G40</f>
      </c>
      <c r="J40" s="3" t="s">
        <v>10</v>
      </c>
      <c r="K40" s="3" t="s">
        <v>10</v>
      </c>
    </row>
    <row r="41" ht="18" customHeight="1" spans="1:11" x14ac:dyDescent="0.25">
      <c r="A41" s="2" t="s">
        <v>10</v>
      </c>
      <c r="B41" s="2">
        <v>2059</v>
      </c>
      <c r="C41" s="2" t="s">
        <v>10</v>
      </c>
      <c r="D41" s="2" t="s">
        <v>10</v>
      </c>
      <c r="E41" s="2">
        <f>B41*(1+C41)</f>
      </c>
      <c r="F41" s="2" t="s">
        <v>10</v>
      </c>
      <c r="G41" s="2">
        <f>MAX(0,E41-D41)</f>
      </c>
      <c r="H41" s="2" t="s">
        <v>10</v>
      </c>
      <c r="I41" s="2">
        <f>F41*G41</f>
      </c>
      <c r="J41" s="2" t="s">
        <v>10</v>
      </c>
      <c r="K41" s="2" t="s">
        <v>10</v>
      </c>
    </row>
  </sheetData>
  <dataValidations count="2">
    <dataValidation type="list" allowBlank="1" showErrorMessage="1" errorTitle="Invalid cap type" error="Please select Cumulative, Non-Cumulative, or None." sqref="I10:I41">
      <formula1>"Cumulative,Non-Cumulative,None"</formula1>
    </dataValidation>
    <dataValidation type="list" allowBlank="1" showErrorMessage="1" errorTitle="Invalid cap type" error="Please select Cumulative, Non-Cumulative, or None." sqref="I2:I41">
      <formula1>"Cumulative,Non-Cumulative,None"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J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28" customWidth="1"/>
    <col min="4" max="8" width="18" customWidth="1"/>
    <col min="9" max="10" width="28" customWidth="1"/>
  </cols>
  <sheetData>
    <row r="1" ht="24" customHeight="1" spans="1:10" x14ac:dyDescent="0.2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</row>
    <row r="2" ht="18" customHeight="1" spans="1:10" x14ac:dyDescent="0.25">
      <c r="A2" s="2" t="s">
        <v>96</v>
      </c>
      <c r="B2" s="2" t="s">
        <v>97</v>
      </c>
      <c r="C2" s="2" t="s">
        <v>98</v>
      </c>
      <c r="D2" s="2">
        <v>125000</v>
      </c>
      <c r="E2" s="2">
        <v>98000</v>
      </c>
      <c r="F2" s="2">
        <f>D2-E2</f>
      </c>
      <c r="G2" s="2">
        <v>0.125</v>
      </c>
      <c r="H2" s="2">
        <f>F2*G2</f>
      </c>
      <c r="I2" s="2" t="s">
        <v>99</v>
      </c>
      <c r="J2" s="2" t="s">
        <v>48</v>
      </c>
    </row>
    <row r="3" ht="18" customHeight="1" spans="1:10" x14ac:dyDescent="0.25">
      <c r="A3" s="3" t="s">
        <v>100</v>
      </c>
      <c r="B3" s="3" t="s">
        <v>101</v>
      </c>
      <c r="C3" s="3" t="s">
        <v>102</v>
      </c>
      <c r="D3" s="3">
        <v>64000</v>
      </c>
      <c r="E3" s="3">
        <v>0</v>
      </c>
      <c r="F3" s="3">
        <f>D3-E3</f>
      </c>
      <c r="G3" s="3">
        <v>0.125</v>
      </c>
      <c r="H3" s="3">
        <f>F3*G3</f>
      </c>
      <c r="I3" s="3" t="s">
        <v>103</v>
      </c>
      <c r="J3" s="3" t="s">
        <v>48</v>
      </c>
    </row>
    <row r="4" ht="18" customHeight="1" spans="1:10" x14ac:dyDescent="0.25">
      <c r="A4" s="2" t="s">
        <v>10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  <c r="J4" s="2" t="s">
        <v>10</v>
      </c>
    </row>
    <row r="5" ht="18" customHeight="1" spans="1:10" x14ac:dyDescent="0.25">
      <c r="A5" s="3" t="s">
        <v>10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  <c r="J5" s="3" t="s">
        <v>10</v>
      </c>
    </row>
    <row r="6" ht="18" customHeight="1" spans="1:10" x14ac:dyDescent="0.25">
      <c r="A6" s="2" t="s">
        <v>10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  <c r="J6" s="2" t="s">
        <v>10</v>
      </c>
    </row>
    <row r="7" ht="18" customHeight="1" spans="1:10" x14ac:dyDescent="0.25">
      <c r="A7" s="3" t="s">
        <v>10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  <c r="J7" s="3" t="s">
        <v>10</v>
      </c>
    </row>
    <row r="8" ht="18" customHeight="1" spans="1:10" x14ac:dyDescent="0.25">
      <c r="A8" s="2" t="s">
        <v>10</v>
      </c>
      <c r="B8" s="2" t="s">
        <v>10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  <c r="I8" s="2" t="s">
        <v>10</v>
      </c>
      <c r="J8" s="2" t="s">
        <v>10</v>
      </c>
    </row>
    <row r="9" ht="18" customHeight="1" spans="1:10" x14ac:dyDescent="0.25">
      <c r="A9" s="3" t="s">
        <v>10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</row>
    <row r="10" ht="18" customHeight="1" spans="1:10" x14ac:dyDescent="0.25">
      <c r="A10" s="2" t="s">
        <v>10</v>
      </c>
      <c r="B10" s="2" t="s">
        <v>10</v>
      </c>
      <c r="C10" s="2" t="s">
        <v>10</v>
      </c>
      <c r="D10" s="2" t="s">
        <v>10</v>
      </c>
      <c r="E10" s="2" t="s">
        <v>10</v>
      </c>
      <c r="F10" s="2" t="s">
        <v>10</v>
      </c>
      <c r="G10" s="2" t="s">
        <v>10</v>
      </c>
      <c r="H10" s="2" t="s">
        <v>10</v>
      </c>
      <c r="I10" s="2" t="s">
        <v>10</v>
      </c>
      <c r="J10" s="2" t="s">
        <v>10</v>
      </c>
    </row>
    <row r="11" ht="18" customHeight="1" spans="1:10" x14ac:dyDescent="0.25">
      <c r="A11" s="3" t="s">
        <v>10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  <c r="J11" s="3" t="s">
        <v>10</v>
      </c>
    </row>
    <row r="12" ht="18" customHeight="1" spans="1:10" x14ac:dyDescent="0.25">
      <c r="A12" s="2" t="s">
        <v>10</v>
      </c>
      <c r="B12" s="2" t="s">
        <v>10</v>
      </c>
      <c r="C12" s="2" t="s">
        <v>10</v>
      </c>
      <c r="D12" s="2" t="s">
        <v>10</v>
      </c>
      <c r="E12" s="2" t="s">
        <v>10</v>
      </c>
      <c r="F12" s="2" t="s">
        <v>10</v>
      </c>
      <c r="G12" s="2" t="s">
        <v>10</v>
      </c>
      <c r="H12" s="2" t="s">
        <v>10</v>
      </c>
      <c r="I12" s="2" t="s">
        <v>10</v>
      </c>
      <c r="J12" s="2" t="s">
        <v>10</v>
      </c>
    </row>
    <row r="13" ht="18" customHeight="1" spans="1:10" x14ac:dyDescent="0.25">
      <c r="A13" s="3" t="s">
        <v>10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  <c r="J13" s="3" t="s">
        <v>10</v>
      </c>
    </row>
    <row r="14" ht="18" customHeight="1" spans="1:10" x14ac:dyDescent="0.25">
      <c r="A14" s="2" t="s">
        <v>10</v>
      </c>
      <c r="B14" s="2" t="s">
        <v>10</v>
      </c>
      <c r="C14" s="2" t="s">
        <v>10</v>
      </c>
      <c r="D14" s="2" t="s">
        <v>10</v>
      </c>
      <c r="E14" s="2" t="s">
        <v>10</v>
      </c>
      <c r="F14" s="2" t="s">
        <v>10</v>
      </c>
      <c r="G14" s="2" t="s">
        <v>10</v>
      </c>
      <c r="H14" s="2" t="s">
        <v>10</v>
      </c>
      <c r="I14" s="2" t="s">
        <v>10</v>
      </c>
      <c r="J14" s="2" t="s">
        <v>10</v>
      </c>
    </row>
    <row r="15" ht="18" customHeight="1" spans="1:10" x14ac:dyDescent="0.25">
      <c r="A15" s="3" t="s">
        <v>10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</row>
    <row r="16" ht="18" customHeight="1" spans="1:10" x14ac:dyDescent="0.25">
      <c r="A16" s="2" t="s">
        <v>10</v>
      </c>
      <c r="B16" s="2" t="s">
        <v>10</v>
      </c>
      <c r="C16" s="2" t="s">
        <v>10</v>
      </c>
      <c r="D16" s="2" t="s">
        <v>10</v>
      </c>
      <c r="E16" s="2" t="s">
        <v>10</v>
      </c>
      <c r="F16" s="2" t="s">
        <v>10</v>
      </c>
      <c r="G16" s="2" t="s">
        <v>10</v>
      </c>
      <c r="H16" s="2" t="s">
        <v>10</v>
      </c>
      <c r="I16" s="2" t="s">
        <v>10</v>
      </c>
      <c r="J16" s="2" t="s">
        <v>10</v>
      </c>
    </row>
    <row r="17" ht="18" customHeight="1" spans="1:10" x14ac:dyDescent="0.25">
      <c r="A17" s="3" t="s">
        <v>10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</row>
    <row r="18" ht="18" customHeight="1" spans="1:10" x14ac:dyDescent="0.25">
      <c r="A18" s="2" t="s">
        <v>10</v>
      </c>
      <c r="B18" s="2" t="s">
        <v>10</v>
      </c>
      <c r="C18" s="2" t="s">
        <v>10</v>
      </c>
      <c r="D18" s="2" t="s">
        <v>10</v>
      </c>
      <c r="E18" s="2" t="s">
        <v>10</v>
      </c>
      <c r="F18" s="2" t="s">
        <v>10</v>
      </c>
      <c r="G18" s="2" t="s">
        <v>10</v>
      </c>
      <c r="H18" s="2" t="s">
        <v>10</v>
      </c>
      <c r="I18" s="2" t="s">
        <v>10</v>
      </c>
      <c r="J18" s="2" t="s">
        <v>10</v>
      </c>
    </row>
    <row r="19" ht="18" customHeight="1" spans="1:10" x14ac:dyDescent="0.25">
      <c r="A19" s="3" t="s">
        <v>10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  <c r="J19" s="3" t="s">
        <v>10</v>
      </c>
    </row>
    <row r="20" ht="18" customHeight="1" spans="1:10" x14ac:dyDescent="0.25">
      <c r="A20" s="2" t="s">
        <v>10</v>
      </c>
      <c r="B20" s="2" t="s">
        <v>10</v>
      </c>
      <c r="C20" s="2" t="s">
        <v>10</v>
      </c>
      <c r="D20" s="2" t="s">
        <v>10</v>
      </c>
      <c r="E20" s="2" t="s">
        <v>10</v>
      </c>
      <c r="F20" s="2" t="s">
        <v>10</v>
      </c>
      <c r="G20" s="2" t="s">
        <v>10</v>
      </c>
      <c r="H20" s="2" t="s">
        <v>10</v>
      </c>
      <c r="I20" s="2" t="s">
        <v>10</v>
      </c>
      <c r="J20" s="2" t="s">
        <v>10</v>
      </c>
    </row>
    <row r="21" ht="18" customHeight="1" spans="1:10" x14ac:dyDescent="0.25">
      <c r="A21" s="3" t="s">
        <v>10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</row>
    <row r="22" ht="18" customHeight="1" spans="1:10" x14ac:dyDescent="0.25">
      <c r="A22" s="2" t="s">
        <v>10</v>
      </c>
      <c r="B22" s="2" t="s">
        <v>10</v>
      </c>
      <c r="C22" s="2" t="s">
        <v>10</v>
      </c>
      <c r="D22" s="2" t="s">
        <v>10</v>
      </c>
      <c r="E22" s="2" t="s">
        <v>10</v>
      </c>
      <c r="F22" s="2" t="s">
        <v>10</v>
      </c>
      <c r="G22" s="2" t="s">
        <v>10</v>
      </c>
      <c r="H22" s="2" t="s">
        <v>10</v>
      </c>
      <c r="I22" s="2" t="s">
        <v>10</v>
      </c>
      <c r="J22" s="2" t="s">
        <v>10</v>
      </c>
    </row>
    <row r="23" ht="18" customHeight="1" spans="1:10" x14ac:dyDescent="0.25">
      <c r="A23" s="3" t="s">
        <v>10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</row>
    <row r="24" ht="18" customHeight="1" spans="1:10" x14ac:dyDescent="0.25">
      <c r="A24" s="2" t="s">
        <v>10</v>
      </c>
      <c r="B24" s="2" t="s">
        <v>10</v>
      </c>
      <c r="C24" s="2" t="s">
        <v>10</v>
      </c>
      <c r="D24" s="2" t="s">
        <v>10</v>
      </c>
      <c r="E24" s="2" t="s">
        <v>10</v>
      </c>
      <c r="F24" s="2" t="s">
        <v>10</v>
      </c>
      <c r="G24" s="2" t="s">
        <v>10</v>
      </c>
      <c r="H24" s="2" t="s">
        <v>10</v>
      </c>
      <c r="I24" s="2" t="s">
        <v>10</v>
      </c>
      <c r="J24" s="2" t="s">
        <v>10</v>
      </c>
    </row>
    <row r="25" ht="18" customHeight="1" spans="1:10" x14ac:dyDescent="0.25">
      <c r="A25" s="3" t="s">
        <v>10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  <c r="J25" s="3" t="s">
        <v>10</v>
      </c>
    </row>
    <row r="26" ht="18" customHeight="1" spans="1:10" x14ac:dyDescent="0.25">
      <c r="A26" s="2" t="s">
        <v>10</v>
      </c>
      <c r="B26" s="2" t="s">
        <v>10</v>
      </c>
      <c r="C26" s="2" t="s">
        <v>10</v>
      </c>
      <c r="D26" s="2" t="s">
        <v>10</v>
      </c>
      <c r="E26" s="2" t="s">
        <v>10</v>
      </c>
      <c r="F26" s="2" t="s">
        <v>10</v>
      </c>
      <c r="G26" s="2" t="s">
        <v>10</v>
      </c>
      <c r="H26" s="2" t="s">
        <v>10</v>
      </c>
      <c r="I26" s="2" t="s">
        <v>10</v>
      </c>
      <c r="J26" s="2" t="s">
        <v>10</v>
      </c>
    </row>
    <row r="27" ht="18" customHeight="1" spans="1:10" x14ac:dyDescent="0.25">
      <c r="A27" s="3" t="s">
        <v>10</v>
      </c>
      <c r="B27" s="3" t="s">
        <v>10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  <c r="J27" s="3" t="s">
        <v>10</v>
      </c>
    </row>
    <row r="28" ht="18" customHeight="1" spans="1:10" x14ac:dyDescent="0.25">
      <c r="A28" s="2" t="s">
        <v>10</v>
      </c>
      <c r="B28" s="2" t="s">
        <v>10</v>
      </c>
      <c r="C28" s="2" t="s">
        <v>10</v>
      </c>
      <c r="D28" s="2" t="s">
        <v>10</v>
      </c>
      <c r="E28" s="2" t="s">
        <v>10</v>
      </c>
      <c r="F28" s="2" t="s">
        <v>10</v>
      </c>
      <c r="G28" s="2" t="s">
        <v>10</v>
      </c>
      <c r="H28" s="2" t="s">
        <v>10</v>
      </c>
      <c r="I28" s="2" t="s">
        <v>10</v>
      </c>
      <c r="J28" s="2" t="s">
        <v>10</v>
      </c>
    </row>
    <row r="29" ht="18" customHeight="1" spans="1:10" x14ac:dyDescent="0.25">
      <c r="A29" s="3" t="s">
        <v>10</v>
      </c>
      <c r="B29" s="3" t="s">
        <v>10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</row>
    <row r="30" ht="18" customHeight="1" spans="1:10" x14ac:dyDescent="0.25">
      <c r="A30" s="2" t="s">
        <v>10</v>
      </c>
      <c r="B30" s="2" t="s">
        <v>10</v>
      </c>
      <c r="C30" s="2" t="s">
        <v>10</v>
      </c>
      <c r="D30" s="2" t="s">
        <v>10</v>
      </c>
      <c r="E30" s="2" t="s">
        <v>10</v>
      </c>
      <c r="F30" s="2" t="s">
        <v>10</v>
      </c>
      <c r="G30" s="2" t="s">
        <v>10</v>
      </c>
      <c r="H30" s="2" t="s">
        <v>10</v>
      </c>
      <c r="I30" s="2" t="s">
        <v>10</v>
      </c>
      <c r="J30" s="2" t="s">
        <v>10</v>
      </c>
    </row>
    <row r="31" ht="18" customHeight="1" spans="1:10" x14ac:dyDescent="0.25">
      <c r="A31" s="3" t="s">
        <v>10</v>
      </c>
      <c r="B31" s="3" t="s">
        <v>10</v>
      </c>
      <c r="C31" s="3" t="s">
        <v>10</v>
      </c>
      <c r="D31" s="3" t="s">
        <v>10</v>
      </c>
      <c r="E31" s="3" t="s">
        <v>10</v>
      </c>
      <c r="F31" s="3" t="s">
        <v>10</v>
      </c>
      <c r="G31" s="3" t="s">
        <v>10</v>
      </c>
      <c r="H31" s="3" t="s">
        <v>10</v>
      </c>
      <c r="I31" s="3" t="s">
        <v>10</v>
      </c>
      <c r="J31" s="3" t="s">
        <v>10</v>
      </c>
    </row>
    <row r="32" ht="18" customHeight="1" spans="1:10" x14ac:dyDescent="0.25">
      <c r="A32" s="2" t="s">
        <v>10</v>
      </c>
      <c r="B32" s="2" t="s">
        <v>10</v>
      </c>
      <c r="C32" s="2" t="s">
        <v>10</v>
      </c>
      <c r="D32" s="2" t="s">
        <v>10</v>
      </c>
      <c r="E32" s="2" t="s">
        <v>10</v>
      </c>
      <c r="F32" s="2" t="s">
        <v>10</v>
      </c>
      <c r="G32" s="2" t="s">
        <v>10</v>
      </c>
      <c r="H32" s="2" t="s">
        <v>10</v>
      </c>
      <c r="I32" s="2" t="s">
        <v>10</v>
      </c>
      <c r="J32" s="2" t="s">
        <v>10</v>
      </c>
    </row>
    <row r="33" ht="18" customHeight="1" spans="1:10" x14ac:dyDescent="0.25">
      <c r="A33" s="3" t="s">
        <v>10</v>
      </c>
      <c r="B33" s="3" t="s">
        <v>10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  <c r="J33" s="3" t="s">
        <v>10</v>
      </c>
    </row>
    <row r="34" ht="18" customHeight="1" spans="1:10" x14ac:dyDescent="0.25">
      <c r="A34" s="2" t="s">
        <v>10</v>
      </c>
      <c r="B34" s="2" t="s">
        <v>10</v>
      </c>
      <c r="C34" s="2" t="s">
        <v>10</v>
      </c>
      <c r="D34" s="2" t="s">
        <v>10</v>
      </c>
      <c r="E34" s="2" t="s">
        <v>10</v>
      </c>
      <c r="F34" s="2" t="s">
        <v>10</v>
      </c>
      <c r="G34" s="2" t="s">
        <v>10</v>
      </c>
      <c r="H34" s="2" t="s">
        <v>10</v>
      </c>
      <c r="I34" s="2" t="s">
        <v>10</v>
      </c>
      <c r="J34" s="2" t="s">
        <v>10</v>
      </c>
    </row>
    <row r="35" ht="18" customHeight="1" spans="1:10" x14ac:dyDescent="0.25">
      <c r="A35" s="3" t="s">
        <v>10</v>
      </c>
      <c r="B35" s="3" t="s">
        <v>10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</row>
    <row r="36" ht="18" customHeight="1" spans="1:10" x14ac:dyDescent="0.25">
      <c r="A36" s="2" t="s">
        <v>10</v>
      </c>
      <c r="B36" s="2" t="s">
        <v>10</v>
      </c>
      <c r="C36" s="2" t="s">
        <v>10</v>
      </c>
      <c r="D36" s="2" t="s">
        <v>10</v>
      </c>
      <c r="E36" s="2" t="s">
        <v>10</v>
      </c>
      <c r="F36" s="2" t="s">
        <v>10</v>
      </c>
      <c r="G36" s="2" t="s">
        <v>10</v>
      </c>
      <c r="H36" s="2" t="s">
        <v>10</v>
      </c>
      <c r="I36" s="2" t="s">
        <v>10</v>
      </c>
      <c r="J36" s="2" t="s">
        <v>10</v>
      </c>
    </row>
    <row r="37" ht="18" customHeight="1" spans="1:10" x14ac:dyDescent="0.25">
      <c r="A37" s="3" t="s">
        <v>10</v>
      </c>
      <c r="B37" s="3" t="s">
        <v>10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10</v>
      </c>
      <c r="I37" s="3" t="s">
        <v>10</v>
      </c>
      <c r="J37" s="3" t="s">
        <v>10</v>
      </c>
    </row>
    <row r="38" ht="18" customHeight="1" spans="1:10" x14ac:dyDescent="0.25">
      <c r="A38" s="2" t="s">
        <v>10</v>
      </c>
      <c r="B38" s="2" t="s">
        <v>10</v>
      </c>
      <c r="C38" s="2" t="s">
        <v>10</v>
      </c>
      <c r="D38" s="2" t="s">
        <v>10</v>
      </c>
      <c r="E38" s="2" t="s">
        <v>10</v>
      </c>
      <c r="F38" s="2" t="s">
        <v>10</v>
      </c>
      <c r="G38" s="2" t="s">
        <v>10</v>
      </c>
      <c r="H38" s="2" t="s">
        <v>10</v>
      </c>
      <c r="I38" s="2" t="s">
        <v>10</v>
      </c>
      <c r="J38" s="2" t="s">
        <v>10</v>
      </c>
    </row>
    <row r="39" ht="18" customHeight="1" spans="1:10" x14ac:dyDescent="0.25">
      <c r="A39" s="3" t="s">
        <v>10</v>
      </c>
      <c r="B39" s="3" t="s">
        <v>10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10</v>
      </c>
      <c r="I39" s="3" t="s">
        <v>10</v>
      </c>
      <c r="J3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Property Summary</vt:lpstr>
      <vt:lpstr>Rent Schedule</vt:lpstr>
      <vt:lpstr>CAM Tracking</vt:lpstr>
      <vt:lpstr>Options &amp; Critical Dates</vt:lpstr>
      <vt:lpstr>Red Flags</vt:lpstr>
      <vt:lpstr>Audit Request Tracker</vt:lpstr>
      <vt:lpstr>Cap Calculator</vt:lpstr>
      <vt:lpstr>Dispute Summary</vt:lpstr>
    </vt:vector>
  </TitlesOfParts>
  <Company>Lextract (lextract.io)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Lextract</dc:creator>
  <dc:title>Lextract Commercial Lease Audit Workbook</dc:title>
  <dc:subject>Lease management tracker - lextract.io</dc:subject>
  <dc:description>Generated by Lextract - AI-powered commercial lease abstraction. Upload your lease at lextract.io to extract 126 fields in 5-15 minutes.</dc:description>
  <cp:keywords>commercial lease, CAM, rent roll, due diligence, lextract</cp:keywords>
  <cp:category/>
  <cp:lastModifiedBy>Lextract</cp:lastModifiedBy>
  <dcterms:created xsi:type="dcterms:W3CDTF">2026-01-01T00:00:00Z</dcterms:created>
  <dcterms:modified xsi:type="dcterms:W3CDTF">2026-01-01T00:00:00Z</dcterms:modified>
</cp:coreProperties>
</file>